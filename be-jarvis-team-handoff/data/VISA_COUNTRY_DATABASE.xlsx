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21d480035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1e4853c76b64ade"/>
    <x:sheet xmlns:r="http://schemas.openxmlformats.org/officeDocument/2006/relationships" name="국가 데이터" sheetId="2" r:id="Rcebb78c975f745b8"/>
    <x:sheet xmlns:r="http://schemas.openxmlformats.org/officeDocument/2006/relationships" name="검증 큐" sheetId="3" r:id="Rf2fbeeb0de934e85"/>
    <x:sheet xmlns:r="http://schemas.openxmlformats.org/officeDocument/2006/relationships" name="분류 기준" sheetId="4" r:id="Re4fb2e2e986146cc"/>
    <x:sheet xmlns:r="http://schemas.openxmlformats.org/officeDocument/2006/relationships" name="출처 로그" sheetId="5" r:id="Rc8108feb093842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9">
    <x:font>
      <x:sz val="11"/>
      <x:name val="Carlito"/>
    </x:font>
    <x:font>
      <x:b/>
      <x:sz val="20"/>
      <x:color rgb="FFFFFFFF"/>
      <x:name val="Carlito"/>
    </x:font>
    <x:font>
      <x:sz val="10"/>
      <x:color rgb="FF191F28"/>
      <x:name val="Carlito"/>
    </x:font>
    <x:font>
      <x:b/>
      <x:sz val="11"/>
      <x:color rgb="FF6B7684"/>
      <x:name val="Carlito"/>
    </x:font>
    <x:font>
      <x:b/>
      <x:sz val="22"/>
      <x:color rgb="FF191F28"/>
      <x:name val="Carlito"/>
    </x:font>
    <x:font>
      <x:b/>
      <x:sz val="11"/>
      <x:color rgb="FFFFFFFF"/>
      <x:name val="Carlito"/>
    </x:font>
    <x:font>
      <x:sz val="11"/>
      <x:color rgb="FF191F28"/>
      <x:name val="Carlito"/>
    </x:font>
    <x:font>
      <x:sz val="9"/>
      <x:color rgb="FF191F28"/>
      <x:name val="Carlito"/>
    </x:font>
    <x:font>
      <x:sz val="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2FF"/>
      </x:patternFill>
    </x:fill>
    <x:fill>
      <x:patternFill patternType="solid">
        <x:fgColor rgb="FFFFFFFF"/>
      </x:patternFill>
    </x:fill>
    <x:fill>
      <x:patternFill patternType="solid">
        <x:fgColor rgb="FFF7F8FA"/>
      </x:patternFill>
    </x:fill>
    <x:fill>
      <x:patternFill patternType="solid">
        <x:fgColor rgb="FF2563EB"/>
      </x:patternFill>
    </x:fill>
    <x:fill>
      <x:patternFill patternType="solid">
        <x:fgColor rgb="FFFFFBEA"/>
      </x:patternFill>
    </x:fill>
    <x:fill>
      <x:patternFill patternType="solid">
        <x:fgColor rgb="FFF2F7FF"/>
      </x:patternFill>
    </x:fill>
  </x:fills>
  <x:borders count="12">
    <x:border/>
    <x:border>
      <x:left style="thin">
        <x:color rgb="FFD9E0EA"/>
      </x:left>
      <x:top style="thin">
        <x:color rgb="FFD9E0EA"/>
      </x:top>
    </x:border>
    <x:border>
      <x:right style="thin">
        <x:color rgb="FFD9E0EA"/>
      </x:right>
      <x:top style="thin">
        <x:color rgb="FFD9E0EA"/>
      </x:top>
    </x:border>
    <x:border>
      <x:left style="thin">
        <x:color rgb="FFD9E0EA"/>
      </x:left>
    </x:border>
    <x:border>
      <x:right style="thin">
        <x:color rgb="FFD9E0EA"/>
      </x:right>
    </x:border>
    <x:border>
      <x:left style="thin">
        <x:color rgb="FFD9E0EA"/>
      </x:left>
      <x:bottom style="thin">
        <x:color rgb="FFD9E0EA"/>
      </x:bottom>
    </x:border>
    <x:border>
      <x:right style="thin">
        <x:color rgb="FFD9E0EA"/>
      </x:right>
      <x:bottom style="thin">
        <x:color rgb="FFD9E0EA"/>
      </x:bottom>
    </x:border>
    <x:border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top style="thin">
        <x:color rgb="FFD9E0EA"/>
      </x:top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top style="thin">
        <x:color rgb="FFD9E0EA"/>
      </x:top>
      <x:bottom style="thin">
        <x:color rgb="FFD9E0EA"/>
      </x:bottom>
    </x:border>
    <x:border>
      <x:left style="thin">
        <x:color rgb="FFD9E0EA"/>
      </x:left>
      <x:right style="thin">
        <x:color rgb="FFD9E0EA"/>
      </x:right>
      <x:top style="thin">
        <x:color rgb="FFD9E0EA"/>
      </x:top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/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2" xfId="0" applyNumberFormat="1" applyFont="1" applyFill="1" applyBorder="1"/>
    <x:xf numFmtId="0" fontId="0" fillId="0" borderId="1" xfId="0" applyNumberFormat="1" applyFont="1" applyFill="1" applyBorder="1"/>
    <x:xf numFmtId="0" fontId="0" fillId="6" borderId="6" xfId="0" applyNumberFormat="1" applyFont="1" applyFill="1" applyBorder="1"/>
    <x:xf numFmtId="0" fontId="0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/>
    </x:xf>
    <x:xf numFmtId="0" fontId="7" fillId="7" borderId="0" xfId="0" applyNumberFormat="1" applyFont="1" applyFill="1" applyBorder="1" applyAlignment="1">
      <x:alignment vertical="top"/>
    </x:xf>
    <x:xf numFmtId="0" fontId="7" fillId="8" borderId="0" xfId="0" applyNumberFormat="1" applyFont="1" applyFill="1" applyBorder="1" applyAlignment="1">
      <x:alignment vertical="top" wrapText="1"/>
    </x:xf>
    <x:xf numFmtId="201" fontId="7" fillId="8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0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883F"/>
      </x:font>
      <x:fill>
        <x:patternFill patternType="solid">
          <x:bgColor rgb="FFEAF7EF"/>
        </x:patternFill>
      </x:fill>
    </x:dxf>
    <x:dxf>
      <x:font>
        <x:color rgb="FFD92D20"/>
      </x:font>
      <x:fill>
        <x:patternFill patternType="solid">
          <x:bgColor rgb="FFFEECEC"/>
        </x:patternFill>
      </x:fill>
    </x:dxf>
    <x:dxf>
      <x:font>
        <x:b/>
        <x:color rgb="FFD92D20"/>
      </x:font>
      <x:fill>
        <x:patternFill patternType="solid">
          <x:bgColor rgb="FFFEECEC"/>
        </x:patternFill>
      </x:fill>
    </x:dxf>
    <x:dxf>
      <x:font>
        <x:b/>
        <x:color rgb="FFB45309"/>
      </x:font>
      <x:fill>
        <x:patternFill patternType="solid">
          <x:bgColor rgb="FFFFF4E5"/>
        </x:patternFill>
      </x:fill>
    </x:dxf>
    <x:dxf>
      <x:font>
        <x:b/>
        <x:color rgb="FFD92D20"/>
      </x:font>
      <x:fill>
        <x:patternFill patternType="solid">
          <x:bgColor rgb="FFFEECEC"/>
        </x:patternFill>
      </x:fill>
    </x:dxf>
    <x:dxf>
      <x:font>
        <x:b/>
        <x:color rgb="FFB45309"/>
      </x:font>
      <x:fill>
        <x:patternFill patternType="solid">
          <x:bgColor rgb="FFFFF4E5"/>
        </x:patternFill>
      </x:fill>
    </x:dxf>
    <x:dxf>
      <x:font>
        <x:b/>
        <x:color rgb="FF16883F"/>
      </x:font>
      <x:fill>
        <x:patternFill patternType="solid">
          <x:bgColor rgb="FFEAF7EF"/>
        </x:patternFill>
      </x:fill>
    </x:dxf>
    <x:dxf>
      <x:font>
        <x:color rgb="FFB45309"/>
      </x:font>
      <x:fill>
        <x:patternFill patternType="solid">
          <x:bgColor rgb="FFFFF4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250a37b7d4689" /><Relationship Type="http://schemas.openxmlformats.org/officeDocument/2006/relationships/theme" Target="/xl/theme/theme1.xml" Id="R20ce4ea2d8fd4c08" /><Relationship Type="http://schemas.openxmlformats.org/officeDocument/2006/relationships/sharedStrings" Target="/xl/sharedStrings.xml" Id="R0f865f1b437d4d86" /><Relationship Type="http://schemas.openxmlformats.org/officeDocument/2006/relationships/worksheet" Target="/xl/worksheets/sheet1.xml" Id="R71e4853c76b64ade" /><Relationship Type="http://schemas.openxmlformats.org/officeDocument/2006/relationships/worksheet" Target="/xl/worksheets/sheet2.xml" Id="Rcebb78c975f745b8" /><Relationship Type="http://schemas.openxmlformats.org/officeDocument/2006/relationships/worksheet" Target="/xl/worksheets/sheet3.xml" Id="Rf2fbeeb0de934e85" /><Relationship Type="http://schemas.openxmlformats.org/officeDocument/2006/relationships/worksheet" Target="/xl/worksheets/sheet4.xml" Id="Re4fb2e2e986146cc" /><Relationship Type="http://schemas.openxmlformats.org/officeDocument/2006/relationships/worksheet" Target="/xl/worksheets/sheet5.xml" Id="Rc8108feb09384234" /><Relationship Type="http://schemas.microsoft.com/office/2017/10/relationships/person" Target="/xl/persons/person.xml" Id="Rbf1ad1d612e644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f1ec0a138144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신청 경로별 국가 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국가 수</c:v>
          </c:tx>
          <c:cat>
            <c:strRef>
              <c:f>'요약'!$A$11:$A$19</c:f>
              <c:strCache>
                <c:ptCount val="0"/>
              </c:strCache>
            </c:strRef>
          </c:cat>
          <c:val>
            <c:numRef>
              <c:f>'요약'!$B$11:$B$19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f1ec0a1381449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5DD2459F-9503-4C9F-93B4-B963E3B1D0EE}"/>
</xltc:personList>
</file>

<file path=xl/tables/table1.xml><?xml version="1.0" encoding="utf-8"?>
<x:table xmlns:x="http://schemas.openxmlformats.org/spreadsheetml/2006/main" id="1" name="CountryDataTable" displayName="CountryDataTable" ref="A4:R203" headerRowCount="1" totalsRowCount="0" totalsRowShown="0">
  <x:autoFilter ref="A4:R203"/>
  <x:tableColumns count="18">
    <x:tableColumn id="1" name="지역"/>
    <x:tableColumn id="2" name="국가/지역"/>
    <x:tableColumn id="3" name="외교부 일반여권 기준"/>
    <x:tableColumn id="4" name="외교부 근거·비고"/>
    <x:tableColumn id="5" name="사용자 표시"/>
    <x:tableColumn id="6" name="신청 경로"/>
    <x:tableColumn id="7" name="출발 전 필수"/>
    <x:tableColumn id="8" name="최대 체류·조건"/>
    <x:tableColumn id="9" name="여행안전 확인"/>
    <x:tableColumn id="10" name="서비스 제공 범위"/>
    <x:tableColumn id="11" name="검증 상태"/>
    <x:tableColumn id="12" name="게시 상태"/>
    <x:tableColumn id="13" name="검증 우선순위"/>
    <x:tableColumn id="14" name="최종 공식 출처"/>
    <x:tableColumn id="15" name="보조 출처"/>
    <x:tableColumn id="16" name="최종 검증일"/>
    <x:tableColumn id="17" name="데이터 신선도"/>
    <x:tableColumn id="18" name="제품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cationQueueTable" displayName="VerificationQueueTable" ref="A4:H196" headerRowCount="1" totalsRowCount="0" totalsRowShown="0">
  <x:tableColumns count="8">
    <x:tableColumn id="1" name="우선순위"/>
    <x:tableColumn id="2" name="국가/지역"/>
    <x:tableColumn id="3" name="현재 신청 경로"/>
    <x:tableColumn id="4" name="출발 전 필수"/>
    <x:tableColumn id="5" name="검증 상태"/>
    <x:tableColumn id="6" name="공식 출처"/>
    <x:tableColumn id="7" name="제품 메모"/>
    <x:tableColumn id="8" name="마스터 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35c98dd55f4e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0e3ce5f39f44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38d1368bac4e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4" t="str">
        <x:v>대한민국 일반여권 관광 입국 규정 데이터베이스</x:v>
      </x:c>
      <x:c r="B1" s="4" t="str">
        <x:v>대한민국 일반여권 관광 입국 규정 데이터베이스</x:v>
      </x:c>
      <x:c r="C1" s="4" t="str">
        <x:v>대한민국 일반여권 관광 입국 규정 데이터베이스</x:v>
      </x:c>
      <x:c r="D1" s="4" t="str">
        <x:v>대한민국 일반여권 관광 입국 규정 데이터베이스</x:v>
      </x:c>
      <x:c r="E1" s="4" t="str">
        <x:v>대한민국 일반여권 관광 입국 규정 데이터베이스</x:v>
      </x:c>
      <x:c r="F1" s="4" t="str">
        <x:v>대한민국 일반여권 관광 입국 규정 데이터베이스</x:v>
      </x:c>
      <x:c r="G1" s="4" t="str">
        <x:v>대한민국 일반여권 관광 입국 규정 데이터베이스</x:v>
      </x:c>
      <x:c r="H1" s="4" t="str">
        <x:v>대한민국 일반여권 관광 입국 규정 데이터베이스</x:v>
      </x:c>
    </x:row>
    <x:row r="2" ht="32" customHeight="1">
      <x:c r="A2" s="4" t="str">
        <x:v>대한민국 일반여권 관광 입국 규정 데이터베이스</x:v>
      </x:c>
      <x:c r="B2" s="4" t="str">
        <x:v>대한민국 일반여권 관광 입국 규정 데이터베이스</x:v>
      </x:c>
      <x:c r="C2" s="4" t="str">
        <x:v>대한민국 일반여권 관광 입국 규정 데이터베이스</x:v>
      </x:c>
      <x:c r="D2" s="4" t="str">
        <x:v>대한민국 일반여권 관광 입국 규정 데이터베이스</x:v>
      </x:c>
      <x:c r="E2" s="4" t="str">
        <x:v>대한민국 일반여권 관광 입국 규정 데이터베이스</x:v>
      </x:c>
      <x:c r="F2" s="4" t="str">
        <x:v>대한민국 일반여권 관광 입국 규정 데이터베이스</x:v>
      </x:c>
      <x:c r="G2" s="4" t="str">
        <x:v>대한민국 일반여권 관광 입국 규정 데이터베이스</x:v>
      </x:c>
      <x:c r="H2" s="4" t="str">
        <x:v>대한민국 일반여권 관광 입국 규정 데이터베이스</x:v>
      </x:c>
    </x:row>
    <x:row r="3" ht="34" customHeight="1">
      <x:c r="A3" s="8" t="str">
        <x:v>외교부 전체 목록을 기준으로 2026 보조자료를 대조한 제품용 조사 워크북입니다. '게시 가능' 행만 사용자 화면에 사용할 수 있습니다.</x:v>
      </x:c>
      <x:c r="B3" s="8" t="str">
        <x:v>외교부 전체 목록을 기준으로 2026 보조자료를 대조한 제품용 조사 워크북입니다. '게시 가능' 행만 사용자 화면에 사용할 수 있습니다.</x:v>
      </x:c>
      <x:c r="C3" s="8" t="str">
        <x:v>외교부 전체 목록을 기준으로 2026 보조자료를 대조한 제품용 조사 워크북입니다. '게시 가능' 행만 사용자 화면에 사용할 수 있습니다.</x:v>
      </x:c>
      <x:c r="D3" s="8" t="str">
        <x:v>외교부 전체 목록을 기준으로 2026 보조자료를 대조한 제품용 조사 워크북입니다. '게시 가능' 행만 사용자 화면에 사용할 수 있습니다.</x:v>
      </x:c>
      <x:c r="E3" s="8" t="str">
        <x:v>외교부 전체 목록을 기준으로 2026 보조자료를 대조한 제품용 조사 워크북입니다. '게시 가능' 행만 사용자 화면에 사용할 수 있습니다.</x:v>
      </x:c>
      <x:c r="F3" s="8" t="str">
        <x:v>외교부 전체 목록을 기준으로 2026 보조자료를 대조한 제품용 조사 워크북입니다. '게시 가능' 행만 사용자 화면에 사용할 수 있습니다.</x:v>
      </x:c>
      <x:c r="G3" s="8" t="str">
        <x:v>외교부 전체 목록을 기준으로 2026 보조자료를 대조한 제품용 조사 워크북입니다. '게시 가능' 행만 사용자 화면에 사용할 수 있습니다.</x:v>
      </x:c>
      <x:c r="H3" s="8" t="str">
        <x:v>외교부 전체 목록을 기준으로 2026 보조자료를 대조한 제품용 조사 워크북입니다. '게시 가능' 행만 사용자 화면에 사용할 수 있습니다.</x:v>
      </x:c>
    </x:row>
    <x:row r="5">
      <x:c r="A5" s="20" t="str">
        <x:v>전체 국가/지역</x:v>
      </x:c>
      <x:c r="B5" s="21" t="str"/>
      <x:c r="C5" s="20" t="str">
        <x:v>사전 행동 필요</x:v>
      </x:c>
      <x:c r="D5" s="21" t="str"/>
      <x:c r="E5" s="20" t="str">
        <x:v>공식 확인 완료</x:v>
      </x:c>
      <x:c r="F5" s="21" t="str"/>
      <x:c r="G5" s="20" t="str">
        <x:v>게시 가능</x:v>
      </x:c>
      <x:c r="H5" s="21" t="str"/>
    </x:row>
    <x:row r="6">
      <x:c r="A6" s="30" t="n">
        <x:f>COUNTA('국가 데이터'!$B$5:$B$203)</x:f>
        <x:v>199</x:v>
      </x:c>
      <x:c r="B6" s="31"/>
      <x:c r="C6" s="30" t="n">
        <x:f>COUNTIF('국가 데이터'!$F$5:$F$203,"&lt;&gt;무사증")</x:f>
        <x:v>85</x:v>
      </x:c>
      <x:c r="D6" s="31"/>
      <x:c r="E6" s="30" t="n">
        <x:f>COUNTIF('국가 데이터'!$K$5:$K$203,"공식 확인 완료")</x:f>
        <x:v>7</x:v>
      </x:c>
      <x:c r="F6" s="31"/>
      <x:c r="G6" s="30" t="n">
        <x:f>COUNTIF('국가 데이터'!$L$5:$L$203,"게시 가능")</x:f>
        <x:v>7</x:v>
      </x:c>
      <x:c r="H6" s="31"/>
    </x:row>
    <x:row r="7">
      <x:c r="A7" s="32"/>
      <x:c r="B7" s="33"/>
      <x:c r="C7" s="32"/>
      <x:c r="D7" s="33"/>
      <x:c r="E7" s="32"/>
      <x:c r="F7" s="33"/>
      <x:c r="G7" s="32"/>
      <x:c r="H7" s="33"/>
    </x:row>
    <x:row r="10">
      <x:c r="A10" s="42" t="str">
        <x:v>신청 경로</x:v>
      </x:c>
      <x:c r="B10" s="43" t="str">
        <x:v>국가 수</x:v>
      </x:c>
    </x:row>
    <x:row r="11">
      <x:c r="A11" s="36" t="str">
        <x:v>무사증</x:v>
      </x:c>
      <x:c r="B11" s="44" t="n">
        <x:f>COUNTIF('국가 데이터'!$F$5:$F$203,A11)</x:f>
        <x:v>114</x:v>
      </x:c>
    </x:row>
    <x:row r="12">
      <x:c r="A12" s="36" t="str">
        <x:v>무사증+입국등록</x:v>
      </x:c>
      <x:c r="B12" s="44" t="n">
        <x:f>COUNTIF('국가 데이터'!$F$5:$F$203,A12)</x:f>
        <x:v>7</x:v>
      </x:c>
    </x:row>
    <x:row r="13">
      <x:c r="A13" s="36" t="str">
        <x:v>전자여행허가(ETA)</x:v>
      </x:c>
      <x:c r="B13" s="44" t="n">
        <x:f>COUNTIF('국가 데이터'!$F$5:$F$203,A13)</x:f>
        <x:v>9</x:v>
      </x:c>
    </x:row>
    <x:row r="14">
      <x:c r="A14" s="36" t="str">
        <x:v>전자비자(eVisa)</x:v>
      </x:c>
      <x:c r="B14" s="44" t="n">
        <x:f>COUNTIF('국가 데이터'!$F$5:$F$203,A14)</x:f>
        <x:v>26</x:v>
      </x:c>
    </x:row>
    <x:row r="15">
      <x:c r="A15" s="36" t="str">
        <x:v>도착비자</x:v>
      </x:c>
      <x:c r="B15" s="44" t="n">
        <x:f>COUNTIF('국가 데이터'!$F$5:$F$203,A15)</x:f>
        <x:v>9</x:v>
      </x:c>
    </x:row>
    <x:row r="16">
      <x:c r="A16" s="36" t="str">
        <x:v>전자비자/도착비자</x:v>
      </x:c>
      <x:c r="B16" s="44" t="n">
        <x:f>COUNTIF('국가 데이터'!$F$5:$F$203,A16)</x:f>
        <x:v>22</x:v>
      </x:c>
    </x:row>
    <x:row r="17">
      <x:c r="A17" s="36" t="str">
        <x:v>대사관·영사관 사전비자</x:v>
      </x:c>
      <x:c r="B17" s="44" t="n">
        <x:f>COUNTIF('국가 데이터'!$F$5:$F$203,A17)</x:f>
        <x:v>11</x:v>
      </x:c>
    </x:row>
    <x:row r="18">
      <x:c r="A18" s="36" t="str">
        <x:v>특별허가/여행제한</x:v>
      </x:c>
      <x:c r="B18" s="44" t="n">
        <x:f>COUNTIF('국가 데이터'!$F$5:$F$203,A18)</x:f>
        <x:v>1</x:v>
      </x:c>
    </x:row>
    <x:row r="19">
      <x:c r="A19" s="38" t="str">
        <x:v>공식 재확인 필요</x:v>
      </x:c>
      <x:c r="B19" s="45" t="n">
        <x:f>COUNTIF('국가 데이터'!$F$5:$F$203,A19)</x:f>
        <x:v>0</x:v>
      </x:c>
    </x:row>
    <x:row r="22">
      <x:c r="A22" s="46" t="str">
        <x:v>운영 원칙</x:v>
      </x:c>
      <x:c r="B22" s="46" t="str">
        <x:v>운영 원칙</x:v>
      </x:c>
      <x:c r="C22" s="46" t="str">
        <x:v>운영 원칙</x:v>
      </x:c>
      <x:c r="D22" s="46" t="str">
        <x:v>운영 원칙</x:v>
      </x:c>
      <x:c r="E22" s="46" t="str">
        <x:v>운영 원칙</x:v>
      </x:c>
      <x:c r="F22" s="46" t="str">
        <x:v>운영 원칙</x:v>
      </x:c>
      <x:c r="G22" s="46" t="str">
        <x:v>운영 원칙</x:v>
      </x:c>
      <x:c r="H22" s="46" t="str">
        <x:v>운영 원칙</x:v>
      </x:c>
    </x:row>
    <x:row r="23">
      <x:c r="A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B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C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D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E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F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G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H23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</x:row>
    <x:row r="24">
      <x:c r="A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B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C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D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E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F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G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H24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</x:row>
    <x:row r="25">
      <x:c r="A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B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C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D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E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F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G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H25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</x:row>
    <x:row r="26">
      <x:c r="A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B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C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D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E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F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G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H26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</x:row>
    <x:row r="27">
      <x:c r="A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B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C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D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E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F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G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  <x:c r="H27" s="49" t="str">
        <x:v>1) '비자 필요'는 무비자/ETA/eVisa/도착비자/사전비자를 분리해 표시합니다.
2) 외교부 표의 X는 사전비자만 뜻하지 않으므로 그대로 사용자에게 노출하지 않습니다.
3) 최종 공식 출처와 검증일이 있는 행만 게시합니다.
4) 출발 전 30일과 7일에 규정 변경을 재확인하도록 안내합니다.
5) 비자 또는 허가는 입국을 보장하지 않으며 최종 판단은 목적지 입국 당국이 합니다.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22:H22"/>
    <x:mergeCell ref="A23:H27"/>
  </x:mergeCells>
  <x:pageMargins left="0.7" right="0.7" top="0.75" bottom="0.75" header="0.3" footer="0.3"/>
  <x:drawing xmlns:r="http://schemas.openxmlformats.org/officeDocument/2006/relationships" r:id="Rc235c98dd55f4e2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34" hidden="0" customWidth="1"/>
    <x:col min="5" max="5" width="24" hidden="0" customWidth="1"/>
    <x:col min="6" max="6" width="23" hidden="0" customWidth="1"/>
    <x:col min="7" max="7" width="13" hidden="0" customWidth="1"/>
    <x:col min="8" max="8" width="18" hidden="0" customWidth="1"/>
    <x:col min="9" max="9" width="20" hidden="0" customWidth="1"/>
    <x:col min="10" max="10" width="23" hidden="0" customWidth="1"/>
    <x:col min="11" max="11" width="24" hidden="0" customWidth="1"/>
    <x:col min="12" max="12" width="13" hidden="0" customWidth="1"/>
    <x:col min="13" max="13" width="12" hidden="0" customWidth="1"/>
    <x:col min="14" max="14" width="42" hidden="0" customWidth="1"/>
    <x:col min="15" max="15" width="36" hidden="0" customWidth="1"/>
    <x:col min="16" max="16" width="14" hidden="0" customWidth="1"/>
    <x:col min="17" max="17" width="14" hidden="0" customWidth="1"/>
    <x:col min="18" max="18" width="36" hidden="0" customWidth="1"/>
  </x:cols>
  <x:sheetData>
    <x:row r="1" ht="30" customHeight="1">
      <x:c r="A1" s="4" t="str">
        <x:v>국가별 입국 규정 마스터</x:v>
      </x:c>
      <x:c r="B1" s="4" t="str">
        <x:v>국가별 입국 규정 마스터</x:v>
      </x:c>
      <x:c r="C1" s="4" t="str">
        <x:v>국가별 입국 규정 마스터</x:v>
      </x:c>
      <x:c r="D1" s="4" t="str">
        <x:v>국가별 입국 규정 마스터</x:v>
      </x:c>
      <x:c r="E1" s="4" t="str">
        <x:v>국가별 입국 규정 마스터</x:v>
      </x:c>
      <x:c r="F1" s="4" t="str">
        <x:v>국가별 입국 규정 마스터</x:v>
      </x:c>
      <x:c r="G1" s="4" t="str">
        <x:v>국가별 입국 규정 마스터</x:v>
      </x:c>
      <x:c r="H1" s="4" t="str">
        <x:v>국가별 입국 규정 마스터</x:v>
      </x:c>
      <x:c r="I1" s="4" t="str">
        <x:v>국가별 입국 규정 마스터</x:v>
      </x:c>
      <x:c r="J1" s="4" t="str">
        <x:v>국가별 입국 규정 마스터</x:v>
      </x:c>
      <x:c r="K1" s="4" t="str">
        <x:v>국가별 입국 규정 마스터</x:v>
      </x:c>
      <x:c r="L1" s="4" t="str">
        <x:v>국가별 입국 규정 마스터</x:v>
      </x:c>
      <x:c r="M1" s="4" t="str">
        <x:v>국가별 입국 규정 마스터</x:v>
      </x:c>
      <x:c r="N1" s="4" t="str">
        <x:v>국가별 입국 규정 마스터</x:v>
      </x:c>
      <x:c r="O1" s="4" t="str">
        <x:v>국가별 입국 규정 마스터</x:v>
      </x:c>
      <x:c r="P1" s="4" t="str">
        <x:v>국가별 입국 규정 마스터</x:v>
      </x:c>
      <x:c r="Q1" s="4" t="str">
        <x:v>국가별 입국 규정 마스터</x:v>
      </x:c>
      <x:c r="R1" s="4" t="str">
        <x:v>국가별 입국 규정 마스터</x:v>
      </x:c>
    </x:row>
    <x:row r="2" ht="30" customHeight="1">
      <x:c r="A2" s="4" t="str">
        <x:v>국가별 입국 규정 마스터</x:v>
      </x:c>
      <x:c r="B2" s="4" t="str">
        <x:v>국가별 입국 규정 마스터</x:v>
      </x:c>
      <x:c r="C2" s="4" t="str">
        <x:v>국가별 입국 규정 마스터</x:v>
      </x:c>
      <x:c r="D2" s="4" t="str">
        <x:v>국가별 입국 규정 마스터</x:v>
      </x:c>
      <x:c r="E2" s="4" t="str">
        <x:v>국가별 입국 규정 마스터</x:v>
      </x:c>
      <x:c r="F2" s="4" t="str">
        <x:v>국가별 입국 규정 마스터</x:v>
      </x:c>
      <x:c r="G2" s="4" t="str">
        <x:v>국가별 입국 규정 마스터</x:v>
      </x:c>
      <x:c r="H2" s="4" t="str">
        <x:v>국가별 입국 규정 마스터</x:v>
      </x:c>
      <x:c r="I2" s="4" t="str">
        <x:v>국가별 입국 규정 마스터</x:v>
      </x:c>
      <x:c r="J2" s="4" t="str">
        <x:v>국가별 입국 규정 마스터</x:v>
      </x:c>
      <x:c r="K2" s="4" t="str">
        <x:v>국가별 입국 규정 마스터</x:v>
      </x:c>
      <x:c r="L2" s="4" t="str">
        <x:v>국가별 입국 규정 마스터</x:v>
      </x:c>
      <x:c r="M2" s="4" t="str">
        <x:v>국가별 입국 규정 마스터</x:v>
      </x:c>
      <x:c r="N2" s="4" t="str">
        <x:v>국가별 입국 규정 마스터</x:v>
      </x:c>
      <x:c r="O2" s="4" t="str">
        <x:v>국가별 입국 규정 마스터</x:v>
      </x:c>
      <x:c r="P2" s="4" t="str">
        <x:v>국가별 입국 규정 마스터</x:v>
      </x:c>
      <x:c r="Q2" s="4" t="str">
        <x:v>국가별 입국 규정 마스터</x:v>
      </x:c>
      <x:c r="R2" s="4" t="str">
        <x:v>국가별 입국 규정 마스터</x:v>
      </x:c>
    </x:row>
    <x:row r="3" ht="32" customHeight="1">
      <x:c r="A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B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C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D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E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F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G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H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I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J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K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L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M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N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O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P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Q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  <x:c r="R3" s="8" t="str">
        <x:v>파란색 입력 열은 조사자가 갱신합니다. 게시 상태와 신선도는 수식으로 계산됩니다. 2025.3 외교부 기준표는 발견용 기준이며, 최종 안내 전 목적지 정부 공식 출처 확인이 필수입니다.</x:v>
      </x:c>
    </x:row>
    <x:row r="4" ht="34" customHeight="1">
      <x:c r="A4" s="53" t="str">
        <x:v>지역</x:v>
      </x:c>
      <x:c r="B4" s="53" t="str">
        <x:v>국가/지역</x:v>
      </x:c>
      <x:c r="C4" s="53" t="str">
        <x:v>외교부 일반여권 기준</x:v>
      </x:c>
      <x:c r="D4" s="53" t="str">
        <x:v>외교부 근거·비고</x:v>
      </x:c>
      <x:c r="E4" s="53" t="str">
        <x:v>사용자 표시</x:v>
      </x:c>
      <x:c r="F4" s="53" t="str">
        <x:v>신청 경로</x:v>
      </x:c>
      <x:c r="G4" s="53" t="str">
        <x:v>출발 전 필수</x:v>
      </x:c>
      <x:c r="H4" s="53" t="str">
        <x:v>최대 체류·조건</x:v>
      </x:c>
      <x:c r="I4" s="53" t="str">
        <x:v>여행안전 확인</x:v>
      </x:c>
      <x:c r="J4" s="53" t="str">
        <x:v>서비스 제공 범위</x:v>
      </x:c>
      <x:c r="K4" s="53" t="str">
        <x:v>검증 상태</x:v>
      </x:c>
      <x:c r="L4" s="53" t="str">
        <x:v>게시 상태</x:v>
      </x:c>
      <x:c r="M4" s="53" t="str">
        <x:v>검증 우선순위</x:v>
      </x:c>
      <x:c r="N4" s="53" t="str">
        <x:v>최종 공식 출처</x:v>
      </x:c>
      <x:c r="O4" s="53" t="str">
        <x:v>보조 출처</x:v>
      </x:c>
      <x:c r="P4" s="53" t="str">
        <x:v>최종 검증일</x:v>
      </x:c>
      <x:c r="Q4" s="53" t="str">
        <x:v>데이터 신선도</x:v>
      </x:c>
      <x:c r="R4" s="53" t="str">
        <x:v>제품 메모</x:v>
      </x:c>
    </x:row>
    <x:row r="5">
      <x:c r="A5" s="56" t="str">
        <x:v>미주</x:v>
      </x:c>
      <x:c r="B5" s="56" t="str">
        <x:v>가이아나</x:v>
      </x:c>
      <x:c r="C5" s="56" t="str">
        <x:v>30일</x:v>
      </x:c>
      <x:c r="D5" s="58" t="str">
        <x:v>외교관여권 소지자 : 상호주의 관용여권 소지자 : 상호주의 일반여권 소지자 : 상호주의</x:v>
      </x:c>
      <x:c r="E5" s="56" t="str">
        <x:v>비자 불필요</x:v>
      </x:c>
      <x:c r="F5" s="59" t="str">
        <x:v>무사증</x:v>
      </x:c>
      <x:c r="G5" s="56" t="str">
        <x:v>아니오</x:v>
      </x:c>
      <x:c r="H5" s="58" t="str">
        <x:v>30일</x:v>
      </x:c>
      <x:c r="I5" s="58" t="str">
        <x:v>일반 확인</x:v>
      </x:c>
      <x:c r="J5" s="58" t="str">
        <x:v>입국 조건 안내</x:v>
      </x:c>
      <x:c r="K5" s="60" t="str">
        <x:v>외교부 기준·갱신 확인 필요</x:v>
      </x:c>
      <x:c r="L5" s="56" t="str">
        <x:f>IF(K5="공식 확인 완료","게시 가능","게시 금지")</x:f>
        <x:v>게시 금지</x:v>
      </x:c>
      <x:c r="M5" s="56" t="str">
        <x:v>P2</x:v>
      </x:c>
      <x:c r="N5" s="61" t="str"/>
      <x:c r="O5" s="61" t="str">
        <x:v>https://www.passportindex.org/passport/south-korea/</x:v>
      </x:c>
      <x:c r="P5" s="62"/>
      <x:c r="Q5" s="56" t="str">
        <x:f>IF(P5="","미검증",IF(TODAY()-P5&lt;=90,"최신",IF(TODAY()-P5&lt;=180,"갱신 예정","갱신 필요")))</x:f>
        <x:v>미검증</x:v>
      </x:c>
      <x:c r="R5" s="58" t="str"/>
    </x:row>
    <x:row r="6">
      <x:c r="A6" s="56" t="str">
        <x:v>미주</x:v>
      </x:c>
      <x:c r="B6" s="56" t="str">
        <x:v>과테말라</x:v>
      </x:c>
      <x:c r="C6" s="56" t="str">
        <x:v>90일</x:v>
      </x:c>
      <x:c r="D6" s="58" t="str">
        <x:v>외교관여권 소지자 : 협정 관용여권 소지자 : 협정 일반여권 소지자 : 협정</x:v>
      </x:c>
      <x:c r="E6" s="56" t="str">
        <x:v>비자 불필요</x:v>
      </x:c>
      <x:c r="F6" s="59" t="str">
        <x:v>무사증</x:v>
      </x:c>
      <x:c r="G6" s="56" t="str">
        <x:v>아니오</x:v>
      </x:c>
      <x:c r="H6" s="58" t="str">
        <x:v>90일</x:v>
      </x:c>
      <x:c r="I6" s="58" t="str">
        <x:v>일반 확인</x:v>
      </x:c>
      <x:c r="J6" s="58" t="str">
        <x:v>입국 조건 안내</x:v>
      </x:c>
      <x:c r="K6" s="60" t="str">
        <x:v>외교부 기준·갱신 확인 필요</x:v>
      </x:c>
      <x:c r="L6" s="56" t="str">
        <x:f>IF(K6="공식 확인 완료","게시 가능","게시 금지")</x:f>
        <x:v>게시 금지</x:v>
      </x:c>
      <x:c r="M6" s="56" t="str">
        <x:v>P2</x:v>
      </x:c>
      <x:c r="N6" s="61" t="str"/>
      <x:c r="O6" s="61" t="str">
        <x:v>https://www.passportindex.org/passport/south-korea/</x:v>
      </x:c>
      <x:c r="P6" s="62"/>
      <x:c r="Q6" s="56" t="str">
        <x:f>IF(P6="","미검증",IF(TODAY()-P6&lt;=90,"최신",IF(TODAY()-P6&lt;=180,"갱신 예정","갱신 필요")))</x:f>
        <x:v>미검증</x:v>
      </x:c>
      <x:c r="R6" s="58" t="str"/>
    </x:row>
    <x:row r="7">
      <x:c r="A7" s="56" t="str">
        <x:v>미주</x:v>
      </x:c>
      <x:c r="B7" s="56" t="str">
        <x:v>괌</x:v>
      </x:c>
      <x:c r="C7" s="56" t="str">
        <x:v>45일</x:v>
      </x:c>
      <x:c r="D7" s="58" t="str">
        <x:v>외교관여권 소지자 : 일방 관용여권 소지자 : 일방 일반여권 소지자 : 일방</x:v>
      </x:c>
      <x:c r="E7" s="56" t="str">
        <x:v>비자 불필요</x:v>
      </x:c>
      <x:c r="F7" s="59" t="str">
        <x:v>무사증</x:v>
      </x:c>
      <x:c r="G7" s="56" t="str">
        <x:v>아니오</x:v>
      </x:c>
      <x:c r="H7" s="58" t="str">
        <x:v>45일</x:v>
      </x:c>
      <x:c r="I7" s="58" t="str">
        <x:v>일반 확인</x:v>
      </x:c>
      <x:c r="J7" s="58" t="str">
        <x:v>입국 조건 안내</x:v>
      </x:c>
      <x:c r="K7" s="60" t="str">
        <x:v>외교부 기준·갱신 확인 필요</x:v>
      </x:c>
      <x:c r="L7" s="56" t="str">
        <x:f>IF(K7="공식 확인 완료","게시 가능","게시 금지")</x:f>
        <x:v>게시 금지</x:v>
      </x:c>
      <x:c r="M7" s="56" t="str">
        <x:v>P2</x:v>
      </x:c>
      <x:c r="N7" s="61" t="str"/>
      <x:c r="O7" s="61" t="str">
        <x:v>https://www.passportindex.org/passport/south-korea/</x:v>
      </x:c>
      <x:c r="P7" s="62"/>
      <x:c r="Q7" s="56" t="str">
        <x:f>IF(P7="","미검증",IF(TODAY()-P7&lt;=90,"최신",IF(TODAY()-P7&lt;=180,"갱신 예정","갱신 필요")))</x:f>
        <x:v>미검증</x:v>
      </x:c>
      <x:c r="R7" s="58" t="str"/>
    </x:row>
    <x:row r="8">
      <x:c r="A8" s="56" t="str">
        <x:v>미주</x:v>
      </x:c>
      <x:c r="B8" s="56" t="str">
        <x:v>그레나다</x:v>
      </x:c>
      <x:c r="C8" s="56" t="str">
        <x:v>90일</x:v>
      </x:c>
      <x:c r="D8" s="58" t="str">
        <x:v>외교관여권 소지자 : 협정 관용여권 소지자 : 협정 일반여권 소지자 : 협정</x:v>
      </x:c>
      <x:c r="E8" s="56" t="str">
        <x:v>비자 불필요</x:v>
      </x:c>
      <x:c r="F8" s="59" t="str">
        <x:v>무사증</x:v>
      </x:c>
      <x:c r="G8" s="56" t="str">
        <x:v>아니오</x:v>
      </x:c>
      <x:c r="H8" s="58" t="str">
        <x:v>90일</x:v>
      </x:c>
      <x:c r="I8" s="58" t="str">
        <x:v>일반 확인</x:v>
      </x:c>
      <x:c r="J8" s="58" t="str">
        <x:v>입국 조건 안내</x:v>
      </x:c>
      <x:c r="K8" s="60" t="str">
        <x:v>외교부 기준·갱신 확인 필요</x:v>
      </x:c>
      <x:c r="L8" s="56" t="str">
        <x:f>IF(K8="공식 확인 완료","게시 가능","게시 금지")</x:f>
        <x:v>게시 금지</x:v>
      </x:c>
      <x:c r="M8" s="56" t="str">
        <x:v>P2</x:v>
      </x:c>
      <x:c r="N8" s="61" t="str"/>
      <x:c r="O8" s="61" t="str">
        <x:v>https://www.passportindex.org/passport/south-korea/</x:v>
      </x:c>
      <x:c r="P8" s="62"/>
      <x:c r="Q8" s="56" t="str">
        <x:f>IF(P8="","미검증",IF(TODAY()-P8&lt;=90,"최신",IF(TODAY()-P8&lt;=180,"갱신 예정","갱신 필요")))</x:f>
        <x:v>미검증</x:v>
      </x:c>
      <x:c r="R8" s="58" t="str"/>
    </x:row>
    <x:row r="9">
      <x:c r="A9" s="56" t="str">
        <x:v>미주</x:v>
      </x:c>
      <x:c r="B9" s="56" t="str">
        <x:v>니카라과</x:v>
      </x:c>
      <x:c r="C9" s="56" t="str">
        <x:v>90일</x:v>
      </x:c>
      <x:c r="D9" s="58" t="str">
        <x:v>외교관여권 소지자 : 협정 관용여권 소지자 : 협정 일반여권 소지자 : 협정</x:v>
      </x:c>
      <x:c r="E9" s="56" t="str">
        <x:v>비자 불필요</x:v>
      </x:c>
      <x:c r="F9" s="59" t="str">
        <x:v>무사증</x:v>
      </x:c>
      <x:c r="G9" s="56" t="str">
        <x:v>아니오</x:v>
      </x:c>
      <x:c r="H9" s="58" t="str">
        <x:v>90일</x:v>
      </x:c>
      <x:c r="I9" s="58" t="str">
        <x:v>일반 확인</x:v>
      </x:c>
      <x:c r="J9" s="58" t="str">
        <x:v>입국 조건 안내</x:v>
      </x:c>
      <x:c r="K9" s="60" t="str">
        <x:v>외교부 기준·갱신 확인 필요</x:v>
      </x:c>
      <x:c r="L9" s="56" t="str">
        <x:f>IF(K9="공식 확인 완료","게시 가능","게시 금지")</x:f>
        <x:v>게시 금지</x:v>
      </x:c>
      <x:c r="M9" s="56" t="str">
        <x:v>P2</x:v>
      </x:c>
      <x:c r="N9" s="61" t="str"/>
      <x:c r="O9" s="61" t="str">
        <x:v>https://www.passportindex.org/passport/south-korea/</x:v>
      </x:c>
      <x:c r="P9" s="62"/>
      <x:c r="Q9" s="56" t="str">
        <x:f>IF(P9="","미검증",IF(TODAY()-P9&lt;=90,"최신",IF(TODAY()-P9&lt;=180,"갱신 예정","갱신 필요")))</x:f>
        <x:v>미검증</x:v>
      </x:c>
      <x:c r="R9" s="58" t="str"/>
    </x:row>
    <x:row r="10">
      <x:c r="A10" s="56" t="str">
        <x:v>미주</x:v>
      </x:c>
      <x:c r="B10" s="56" t="str">
        <x:v>도미니카공화국</x:v>
      </x:c>
      <x:c r="C10" s="56" t="str">
        <x:v>90일</x:v>
      </x:c>
      <x:c r="D10" s="58" t="str">
        <x:v>외교관여권 소지자 : 협정 관용여권 소지자 : 협정 일반여권 소지자 : 상호주의</x:v>
      </x:c>
      <x:c r="E10" s="56" t="str">
        <x:v>비자 불필요·등록 필요</x:v>
      </x:c>
      <x:c r="F10" s="59" t="str">
        <x:v>무사증+입국등록</x:v>
      </x:c>
      <x:c r="G10" s="56" t="str">
        <x:v>예</x:v>
      </x:c>
      <x:c r="H10" s="58" t="str">
        <x:v>최대 90일</x:v>
      </x:c>
      <x:c r="I10" s="58" t="str">
        <x:v>일반 확인</x:v>
      </x:c>
      <x:c r="J10" s="58" t="str">
        <x:v>신청서 작성 보조</x:v>
      </x:c>
      <x:c r="K10" s="60" t="str">
        <x:v>보조자료 분류·공식 확인 필요</x:v>
      </x:c>
      <x:c r="L10" s="56" t="str">
        <x:f>IF(K10="공식 확인 완료","게시 가능","게시 금지")</x:f>
        <x:v>게시 금지</x:v>
      </x:c>
      <x:c r="M10" s="56" t="str">
        <x:v>P1</x:v>
      </x:c>
      <x:c r="N10" s="61" t="str"/>
      <x:c r="O10" s="61" t="str">
        <x:v>https://www.passportindex.org/passport/south-korea/</x:v>
      </x:c>
      <x:c r="P10" s="62"/>
      <x:c r="Q10" s="56" t="str">
        <x:f>IF(P10="","미검증",IF(TODAY()-P10&lt;=90,"최신",IF(TODAY()-P10&lt;=180,"갱신 예정","갱신 필요")))</x:f>
        <x:v>미검증</x:v>
      </x:c>
      <x:c r="R10" s="58" t="str">
        <x:v>E-Ticket 등록</x:v>
      </x:c>
    </x:row>
    <x:row r="11">
      <x:c r="A11" s="56" t="str">
        <x:v>미주</x:v>
      </x:c>
      <x:c r="B11" s="56" t="str">
        <x:v>도미니카연방</x:v>
      </x:c>
      <x:c r="C11" s="56" t="str">
        <x:v>90일</x:v>
      </x:c>
      <x:c r="D11" s="58" t="str">
        <x:v>외교관여권 소지자 : 협정 관용여권 소지자 : 협정 일반여권 소지자 : 상호주의</x:v>
      </x:c>
      <x:c r="E11" s="56" t="str">
        <x:v>비자 불필요</x:v>
      </x:c>
      <x:c r="F11" s="59" t="str">
        <x:v>무사증</x:v>
      </x:c>
      <x:c r="G11" s="56" t="str">
        <x:v>아니오</x:v>
      </x:c>
      <x:c r="H11" s="58" t="str">
        <x:v>90일</x:v>
      </x:c>
      <x:c r="I11" s="58" t="str">
        <x:v>일반 확인</x:v>
      </x:c>
      <x:c r="J11" s="58" t="str">
        <x:v>입국 조건 안내</x:v>
      </x:c>
      <x:c r="K11" s="60" t="str">
        <x:v>외교부 기준·갱신 확인 필요</x:v>
      </x:c>
      <x:c r="L11" s="56" t="str">
        <x:f>IF(K11="공식 확인 완료","게시 가능","게시 금지")</x:f>
        <x:v>게시 금지</x:v>
      </x:c>
      <x:c r="M11" s="56" t="str">
        <x:v>P2</x:v>
      </x:c>
      <x:c r="N11" s="61" t="str"/>
      <x:c r="O11" s="61" t="str">
        <x:v>https://www.passportindex.org/passport/south-korea/</x:v>
      </x:c>
      <x:c r="P11" s="62"/>
      <x:c r="Q11" s="56" t="str">
        <x:f>IF(P11="","미검증",IF(TODAY()-P11&lt;=90,"최신",IF(TODAY()-P11&lt;=180,"갱신 예정","갱신 필요")))</x:f>
        <x:v>미검증</x:v>
      </x:c>
      <x:c r="R11" s="58" t="str"/>
    </x:row>
    <x:row r="12">
      <x:c r="A12" s="56" t="str">
        <x:v>미주</x:v>
      </x:c>
      <x:c r="B12" s="56" t="str">
        <x:v>멕시코</x:v>
      </x:c>
      <x:c r="C12" s="56" t="str">
        <x:v>최대180일</x:v>
      </x:c>
      <x:c r="D12" s="58" t="str">
        <x:v>외교관여권 소지자 : 협정 관용여권 소지자 : 협정 일반여권 소지자 : 협정</x:v>
      </x:c>
      <x:c r="E12" s="56" t="str">
        <x:v>비자 불필요</x:v>
      </x:c>
      <x:c r="F12" s="59" t="str">
        <x:v>무사증</x:v>
      </x:c>
      <x:c r="G12" s="56" t="str">
        <x:v>아니오</x:v>
      </x:c>
      <x:c r="H12" s="58" t="str">
        <x:v>최대180일</x:v>
      </x:c>
      <x:c r="I12" s="58" t="str">
        <x:v>일반 확인</x:v>
      </x:c>
      <x:c r="J12" s="58" t="str">
        <x:v>입국 조건 안내</x:v>
      </x:c>
      <x:c r="K12" s="60" t="str">
        <x:v>외교부 기준·갱신 확인 필요</x:v>
      </x:c>
      <x:c r="L12" s="56" t="str">
        <x:f>IF(K12="공식 확인 완료","게시 가능","게시 금지")</x:f>
        <x:v>게시 금지</x:v>
      </x:c>
      <x:c r="M12" s="56" t="str">
        <x:v>P2</x:v>
      </x:c>
      <x:c r="N12" s="61" t="str"/>
      <x:c r="O12" s="61" t="str">
        <x:v>https://www.passportindex.org/passport/south-korea/</x:v>
      </x:c>
      <x:c r="P12" s="62"/>
      <x:c r="Q12" s="56" t="str">
        <x:f>IF(P12="","미검증",IF(TODAY()-P12&lt;=90,"최신",IF(TODAY()-P12&lt;=180,"갱신 예정","갱신 필요")))</x:f>
        <x:v>미검증</x:v>
      </x:c>
      <x:c r="R12" s="58" t="str"/>
    </x:row>
    <x:row r="13">
      <x:c r="A13" s="56" t="str">
        <x:v>미주</x:v>
      </x:c>
      <x:c r="B13" s="56" t="str">
        <x:v>미국</x:v>
      </x:c>
      <x:c r="C13" s="56" t="str">
        <x:v>90일</x:v>
      </x:c>
      <x:c r="D13" s="58" t="str">
        <x:v>일반여권 소지자 : 상호주의</x:v>
      </x:c>
      <x:c r="E13" s="56" t="str">
        <x:v>비자는 아니나 사전허가 필요</x:v>
      </x:c>
      <x:c r="F13" s="59" t="str">
        <x:v>전자여행허가(ETA)</x:v>
      </x:c>
      <x:c r="G13" s="56" t="str">
        <x:v>예</x:v>
      </x:c>
      <x:c r="H13" s="58" t="str">
        <x:v>최대 90일</x:v>
      </x:c>
      <x:c r="I13" s="58" t="str">
        <x:v>일반 확인</x:v>
      </x:c>
      <x:c r="J13" s="58" t="str">
        <x:v>신청서 작성 보조</x:v>
      </x:c>
      <x:c r="K13" s="60" t="str">
        <x:v>공식 확인 완료</x:v>
      </x:c>
      <x:c r="L13" s="56" t="str">
        <x:f>IF(K13="공식 확인 완료","게시 가능","게시 금지")</x:f>
        <x:v>게시 가능</x:v>
      </x:c>
      <x:c r="M13" s="56" t="str">
        <x:v>P2</x:v>
      </x:c>
      <x:c r="N13" s="61" t="str">
        <x:v>https://travel.state.gov/content/travel/en/us-visas/tourism-visit/visa-waiver-program.html</x:v>
      </x:c>
      <x:c r="O13" s="61" t="str"/>
      <x:c r="P13" s="62" t="n">
        <x:v>46258</x:v>
      </x:c>
      <x:c r="Q13" s="56" t="str">
        <x:f>IF(P13="","미검증",IF(TODAY()-P13&lt;=90,"최신",IF(TODAY()-P13&lt;=180,"갱신 예정","갱신 필요")))</x:f>
        <x:v>최신</x:v>
      </x:c>
      <x:c r="R13" s="58" t="str">
        <x:v>ESTA 필요</x:v>
      </x:c>
    </x:row>
    <x:row r="14">
      <x:c r="A14" s="56" t="str">
        <x:v>미주</x:v>
      </x:c>
      <x:c r="B14" s="56" t="str">
        <x:v>바베이도스</x:v>
      </x:c>
      <x:c r="C14" s="56" t="str">
        <x:v>90일</x:v>
      </x:c>
      <x:c r="D14" s="58" t="str">
        <x:v>외교관여권 소지자 : 협정 관용여권 소지자 : 협정 일반여권 소지자 : 협정</x:v>
      </x:c>
      <x:c r="E14" s="56" t="str">
        <x:v>비자 불필요</x:v>
      </x:c>
      <x:c r="F14" s="59" t="str">
        <x:v>무사증</x:v>
      </x:c>
      <x:c r="G14" s="56" t="str">
        <x:v>아니오</x:v>
      </x:c>
      <x:c r="H14" s="58" t="str">
        <x:v>90일</x:v>
      </x:c>
      <x:c r="I14" s="58" t="str">
        <x:v>일반 확인</x:v>
      </x:c>
      <x:c r="J14" s="58" t="str">
        <x:v>입국 조건 안내</x:v>
      </x:c>
      <x:c r="K14" s="60" t="str">
        <x:v>외교부 기준·갱신 확인 필요</x:v>
      </x:c>
      <x:c r="L14" s="56" t="str">
        <x:f>IF(K14="공식 확인 완료","게시 가능","게시 금지")</x:f>
        <x:v>게시 금지</x:v>
      </x:c>
      <x:c r="M14" s="56" t="str">
        <x:v>P2</x:v>
      </x:c>
      <x:c r="N14" s="61" t="str"/>
      <x:c r="O14" s="61" t="str">
        <x:v>https://www.passportindex.org/passport/south-korea/</x:v>
      </x:c>
      <x:c r="P14" s="62"/>
      <x:c r="Q14" s="56" t="str">
        <x:f>IF(P14="","미검증",IF(TODAY()-P14&lt;=90,"최신",IF(TODAY()-P14&lt;=180,"갱신 예정","갱신 필요")))</x:f>
        <x:v>미검증</x:v>
      </x:c>
      <x:c r="R14" s="58" t="str"/>
    </x:row>
    <x:row r="15">
      <x:c r="A15" s="56" t="str">
        <x:v>미주</x:v>
      </x:c>
      <x:c r="B15" s="56" t="str">
        <x:v>바하마</x:v>
      </x:c>
      <x:c r="C15" s="56" t="str">
        <x:v>90일</x:v>
      </x:c>
      <x:c r="D15" s="58" t="str">
        <x:v>외교관여권 소지자 : 협정 관용여권 소지자 : 협정 일반여권 소지자 : 상호주의</x:v>
      </x:c>
      <x:c r="E15" s="56" t="str">
        <x:v>비자 불필요</x:v>
      </x:c>
      <x:c r="F15" s="59" t="str">
        <x:v>무사증</x:v>
      </x:c>
      <x:c r="G15" s="56" t="str">
        <x:v>아니오</x:v>
      </x:c>
      <x:c r="H15" s="58" t="str">
        <x:v>90일</x:v>
      </x:c>
      <x:c r="I15" s="58" t="str">
        <x:v>일반 확인</x:v>
      </x:c>
      <x:c r="J15" s="58" t="str">
        <x:v>입국 조건 안내</x:v>
      </x:c>
      <x:c r="K15" s="60" t="str">
        <x:v>외교부 기준·갱신 확인 필요</x:v>
      </x:c>
      <x:c r="L15" s="56" t="str">
        <x:f>IF(K15="공식 확인 완료","게시 가능","게시 금지")</x:f>
        <x:v>게시 금지</x:v>
      </x:c>
      <x:c r="M15" s="56" t="str">
        <x:v>P2</x:v>
      </x:c>
      <x:c r="N15" s="61" t="str"/>
      <x:c r="O15" s="61" t="str">
        <x:v>https://www.passportindex.org/passport/south-korea/</x:v>
      </x:c>
      <x:c r="P15" s="62"/>
      <x:c r="Q15" s="56" t="str">
        <x:f>IF(P15="","미검증",IF(TODAY()-P15&lt;=90,"최신",IF(TODAY()-P15&lt;=180,"갱신 예정","갱신 필요")))</x:f>
        <x:v>미검증</x:v>
      </x:c>
      <x:c r="R15" s="58" t="str"/>
    </x:row>
    <x:row r="16">
      <x:c r="A16" s="56" t="str">
        <x:v>미주</x:v>
      </x:c>
      <x:c r="B16" s="56" t="str">
        <x:v>베네수엘라</x:v>
      </x:c>
      <x:c r="C16" s="56" t="str">
        <x:v>90일</x:v>
      </x:c>
      <x:c r="D16" s="58" t="str">
        <x:v>외교관여권 소지자 : 협정 관용여권 소지자 : 협정 일반여권 소지자 : 협정</x:v>
      </x:c>
      <x:c r="E16" s="56" t="str">
        <x:v>비자 불필요</x:v>
      </x:c>
      <x:c r="F16" s="59" t="str">
        <x:v>무사증</x:v>
      </x:c>
      <x:c r="G16" s="56" t="str">
        <x:v>아니오</x:v>
      </x:c>
      <x:c r="H16" s="58" t="str">
        <x:v>90일</x:v>
      </x:c>
      <x:c r="I16" s="58" t="str">
        <x:v>일부 지역 제한</x:v>
      </x:c>
      <x:c r="J16" s="58" t="str">
        <x:v>입국 조건 안내</x:v>
      </x:c>
      <x:c r="K16" s="60" t="str">
        <x:v>외교부 기준·갱신 확인 필요</x:v>
      </x:c>
      <x:c r="L16" s="56" t="str">
        <x:f>IF(K16="공식 확인 완료","게시 가능","게시 금지")</x:f>
        <x:v>게시 금지</x:v>
      </x:c>
      <x:c r="M16" s="56" t="str">
        <x:v>P2</x:v>
      </x:c>
      <x:c r="N16" s="61" t="str"/>
      <x:c r="O16" s="61" t="str">
        <x:v>https://www.passportindex.org/passport/south-korea/</x:v>
      </x:c>
      <x:c r="P16" s="62"/>
      <x:c r="Q16" s="56" t="str">
        <x:f>IF(P16="","미검증",IF(TODAY()-P16&lt;=90,"최신",IF(TODAY()-P16&lt;=180,"갱신 예정","갱신 필요")))</x:f>
        <x:v>미검증</x:v>
      </x:c>
      <x:c r="R16" s="58" t="str"/>
    </x:row>
    <x:row r="17">
      <x:c r="A17" s="56" t="str">
        <x:v>미주</x:v>
      </x:c>
      <x:c r="B17" s="56" t="str">
        <x:v>벨리즈</x:v>
      </x:c>
      <x:c r="C17" s="56" t="str">
        <x:v>90일</x:v>
      </x:c>
      <x:c r="D17" s="58" t="str">
        <x:v>외교관여권 소지자 : 협정 관용여권 소지자 : 협정 일반여권 소지자 : 상호주의</x:v>
      </x:c>
      <x:c r="E17" s="56" t="str">
        <x:v>비자 불필요</x:v>
      </x:c>
      <x:c r="F17" s="59" t="str">
        <x:v>무사증</x:v>
      </x:c>
      <x:c r="G17" s="56" t="str">
        <x:v>아니오</x:v>
      </x:c>
      <x:c r="H17" s="58" t="str">
        <x:v>90일</x:v>
      </x:c>
      <x:c r="I17" s="58" t="str">
        <x:v>일반 확인</x:v>
      </x:c>
      <x:c r="J17" s="58" t="str">
        <x:v>입국 조건 안내</x:v>
      </x:c>
      <x:c r="K17" s="60" t="str">
        <x:v>외교부 기준·갱신 확인 필요</x:v>
      </x:c>
      <x:c r="L17" s="56" t="str">
        <x:f>IF(K17="공식 확인 완료","게시 가능","게시 금지")</x:f>
        <x:v>게시 금지</x:v>
      </x:c>
      <x:c r="M17" s="56" t="str">
        <x:v>P2</x:v>
      </x:c>
      <x:c r="N17" s="61" t="str"/>
      <x:c r="O17" s="61" t="str">
        <x:v>https://www.passportindex.org/passport/south-korea/</x:v>
      </x:c>
      <x:c r="P17" s="62"/>
      <x:c r="Q17" s="56" t="str">
        <x:f>IF(P17="","미검증",IF(TODAY()-P17&lt;=90,"최신",IF(TODAY()-P17&lt;=180,"갱신 예정","갱신 필요")))</x:f>
        <x:v>미검증</x:v>
      </x:c>
      <x:c r="R17" s="58" t="str"/>
    </x:row>
    <x:row r="18">
      <x:c r="A18" s="56" t="str">
        <x:v>미주</x:v>
      </x:c>
      <x:c r="B18" s="56" t="str">
        <x:v>볼리비아</x:v>
      </x:c>
      <x:c r="C18" s="56" t="str">
        <x:v>X</x:v>
      </x:c>
      <x:c r="D18" s="58" t="str">
        <x:v>외교관여권 소지자 : 협정 관용여권 소지자 : 협정</x:v>
      </x:c>
      <x:c r="E18" s="56" t="str">
        <x:v>비자 불필요</x:v>
      </x:c>
      <x:c r="F18" s="59" t="str">
        <x:v>무사증</x:v>
      </x:c>
      <x:c r="G18" s="56" t="str">
        <x:v>아니오</x:v>
      </x:c>
      <x:c r="H18" s="58" t="str">
        <x:v>최대 90일</x:v>
      </x:c>
      <x:c r="I18" s="58" t="str">
        <x:v>일반 확인</x:v>
      </x:c>
      <x:c r="J18" s="58" t="str">
        <x:v>입국 조건 안내</x:v>
      </x:c>
      <x:c r="K18" s="60" t="str">
        <x:v>공식 확인 완료</x:v>
      </x:c>
      <x:c r="L18" s="56" t="str">
        <x:f>IF(K18="공식 확인 완료","게시 가능","게시 금지")</x:f>
        <x:v>게시 가능</x:v>
      </x:c>
      <x:c r="M18" s="56" t="str">
        <x:v>P2</x:v>
      </x:c>
      <x:c r="N18" s="61" t="str">
        <x:v>https://www.mofa.go.kr/www/brd/m_4080/view.do?page=1&amp;pitem=102026&amp;seq=376720</x:v>
      </x:c>
      <x:c r="O18" s="61" t="str"/>
      <x:c r="P18" s="62" t="n">
        <x:v>46258</x:v>
      </x:c>
      <x:c r="Q18" s="56" t="str">
        <x:f>IF(P18="","미검증",IF(TODAY()-P18&lt;=90,"최신",IF(TODAY()-P18&lt;=180,"갱신 예정","갱신 필요")))</x:f>
        <x:v>최신</x:v>
      </x:c>
      <x:c r="R18" s="58" t="str">
        <x:v>2025-12-03부터 대한민국 일반여권 무사증 확대</x:v>
      </x:c>
    </x:row>
    <x:row r="19">
      <x:c r="A19" s="56" t="str">
        <x:v>미주</x:v>
      </x:c>
      <x:c r="B19" s="56" t="str">
        <x:v>북마리아나제도 (사이판)</x:v>
      </x:c>
      <x:c r="C19" s="56" t="str">
        <x:v>45일</x:v>
      </x:c>
      <x:c r="D19" s="58" t="str">
        <x:v>외교관여권 소지자 : 일방 관용여권 소지자 : 일방 일반여권 소지자 : 일방</x:v>
      </x:c>
      <x:c r="E19" s="56" t="str">
        <x:v>비자 불필요</x:v>
      </x:c>
      <x:c r="F19" s="59" t="str">
        <x:v>무사증</x:v>
      </x:c>
      <x:c r="G19" s="56" t="str">
        <x:v>아니오</x:v>
      </x:c>
      <x:c r="H19" s="58" t="str">
        <x:v>45일</x:v>
      </x:c>
      <x:c r="I19" s="58" t="str">
        <x:v>일반 확인</x:v>
      </x:c>
      <x:c r="J19" s="58" t="str">
        <x:v>입국 조건 안내</x:v>
      </x:c>
      <x:c r="K19" s="60" t="str">
        <x:v>외교부 기준·갱신 확인 필요</x:v>
      </x:c>
      <x:c r="L19" s="56" t="str">
        <x:f>IF(K19="공식 확인 완료","게시 가능","게시 금지")</x:f>
        <x:v>게시 금지</x:v>
      </x:c>
      <x:c r="M19" s="56" t="str">
        <x:v>P2</x:v>
      </x:c>
      <x:c r="N19" s="61" t="str"/>
      <x:c r="O19" s="61" t="str">
        <x:v>https://www.passportindex.org/passport/south-korea/</x:v>
      </x:c>
      <x:c r="P19" s="62"/>
      <x:c r="Q19" s="56" t="str">
        <x:f>IF(P19="","미검증",IF(TODAY()-P19&lt;=90,"최신",IF(TODAY()-P19&lt;=180,"갱신 예정","갱신 필요")))</x:f>
        <x:v>미검증</x:v>
      </x:c>
      <x:c r="R19" s="58" t="str"/>
    </x:row>
    <x:row r="20">
      <x:c r="A20" s="56" t="str">
        <x:v>미주</x:v>
      </x:c>
      <x:c r="B20" s="56" t="str">
        <x:v>브라질</x:v>
      </x:c>
      <x:c r="C20" s="56" t="str">
        <x:v>90일</x:v>
      </x:c>
      <x:c r="D20" s="58" t="str">
        <x:v>외교관여권 소지자 : 협정 관용여권 소지자 : 협정 일반여권 소지자 : 협정</x:v>
      </x:c>
      <x:c r="E20" s="56" t="str">
        <x:v>비자 불필요</x:v>
      </x:c>
      <x:c r="F20" s="59" t="str">
        <x:v>무사증</x:v>
      </x:c>
      <x:c r="G20" s="56" t="str">
        <x:v>아니오</x:v>
      </x:c>
      <x:c r="H20" s="58" t="str">
        <x:v>90일</x:v>
      </x:c>
      <x:c r="I20" s="58" t="str">
        <x:v>일반 확인</x:v>
      </x:c>
      <x:c r="J20" s="58" t="str">
        <x:v>입국 조건 안내</x:v>
      </x:c>
      <x:c r="K20" s="60" t="str">
        <x:v>외교부 기준·갱신 확인 필요</x:v>
      </x:c>
      <x:c r="L20" s="56" t="str">
        <x:f>IF(K20="공식 확인 완료","게시 가능","게시 금지")</x:f>
        <x:v>게시 금지</x:v>
      </x:c>
      <x:c r="M20" s="56" t="str">
        <x:v>P2</x:v>
      </x:c>
      <x:c r="N20" s="61" t="str"/>
      <x:c r="O20" s="61" t="str">
        <x:v>https://www.passportindex.org/passport/south-korea/</x:v>
      </x:c>
      <x:c r="P20" s="62"/>
      <x:c r="Q20" s="56" t="str">
        <x:f>IF(P20="","미검증",IF(TODAY()-P20&lt;=90,"최신",IF(TODAY()-P20&lt;=180,"갱신 예정","갱신 필요")))</x:f>
        <x:v>미검증</x:v>
      </x:c>
      <x:c r="R20" s="58" t="str"/>
    </x:row>
    <x:row r="21">
      <x:c r="A21" s="56" t="str">
        <x:v>미주</x:v>
      </x:c>
      <x:c r="B21" s="56" t="str">
        <x:v>세인트루시아</x:v>
      </x:c>
      <x:c r="C21" s="56" t="str">
        <x:v>90일</x:v>
      </x:c>
      <x:c r="D21" s="58" t="str">
        <x:v>외교관여권 소지자 : 협정 관용여권 소지자 : 협정 일반여권 소지자 : 협정</x:v>
      </x:c>
      <x:c r="E21" s="56" t="str">
        <x:v>비자 불필요</x:v>
      </x:c>
      <x:c r="F21" s="59" t="str">
        <x:v>무사증</x:v>
      </x:c>
      <x:c r="G21" s="56" t="str">
        <x:v>아니오</x:v>
      </x:c>
      <x:c r="H21" s="58" t="str">
        <x:v>90일</x:v>
      </x:c>
      <x:c r="I21" s="58" t="str">
        <x:v>일반 확인</x:v>
      </x:c>
      <x:c r="J21" s="58" t="str">
        <x:v>입국 조건 안내</x:v>
      </x:c>
      <x:c r="K21" s="60" t="str">
        <x:v>외교부 기준·갱신 확인 필요</x:v>
      </x:c>
      <x:c r="L21" s="56" t="str">
        <x:f>IF(K21="공식 확인 완료","게시 가능","게시 금지")</x:f>
        <x:v>게시 금지</x:v>
      </x:c>
      <x:c r="M21" s="56" t="str">
        <x:v>P2</x:v>
      </x:c>
      <x:c r="N21" s="61" t="str"/>
      <x:c r="O21" s="61" t="str">
        <x:v>https://www.passportindex.org/passport/south-korea/</x:v>
      </x:c>
      <x:c r="P21" s="62"/>
      <x:c r="Q21" s="56" t="str">
        <x:f>IF(P21="","미검증",IF(TODAY()-P21&lt;=90,"최신",IF(TODAY()-P21&lt;=180,"갱신 예정","갱신 필요")))</x:f>
        <x:v>미검증</x:v>
      </x:c>
      <x:c r="R21" s="58" t="str"/>
    </x:row>
    <x:row r="22">
      <x:c r="A22" s="56" t="str">
        <x:v>미주</x:v>
      </x:c>
      <x:c r="B22" s="56" t="str">
        <x:v>세인트빈센트그레나딘</x:v>
      </x:c>
      <x:c r="C22" s="56" t="str">
        <x:v>90일</x:v>
      </x:c>
      <x:c r="D22" s="58" t="str">
        <x:v>외교관여권 소지자 : 협정 관용여권 소지자 : 협정 일반여권 소지자 : 협정</x:v>
      </x:c>
      <x:c r="E22" s="56" t="str">
        <x:v>비자 불필요</x:v>
      </x:c>
      <x:c r="F22" s="59" t="str">
        <x:v>무사증</x:v>
      </x:c>
      <x:c r="G22" s="56" t="str">
        <x:v>아니오</x:v>
      </x:c>
      <x:c r="H22" s="58" t="str">
        <x:v>90일</x:v>
      </x:c>
      <x:c r="I22" s="58" t="str">
        <x:v>일반 확인</x:v>
      </x:c>
      <x:c r="J22" s="58" t="str">
        <x:v>입국 조건 안내</x:v>
      </x:c>
      <x:c r="K22" s="60" t="str">
        <x:v>외교부 기준·갱신 확인 필요</x:v>
      </x:c>
      <x:c r="L22" s="56" t="str">
        <x:f>IF(K22="공식 확인 완료","게시 가능","게시 금지")</x:f>
        <x:v>게시 금지</x:v>
      </x:c>
      <x:c r="M22" s="56" t="str">
        <x:v>P2</x:v>
      </x:c>
      <x:c r="N22" s="61" t="str"/>
      <x:c r="O22" s="61" t="str">
        <x:v>https://www.passportindex.org/passport/south-korea/</x:v>
      </x:c>
      <x:c r="P22" s="62"/>
      <x:c r="Q22" s="56" t="str">
        <x:f>IF(P22="","미검증",IF(TODAY()-P22&lt;=90,"최신",IF(TODAY()-P22&lt;=180,"갱신 예정","갱신 필요")))</x:f>
        <x:v>미검증</x:v>
      </x:c>
      <x:c r="R22" s="58" t="str"/>
    </x:row>
    <x:row r="23">
      <x:c r="A23" s="56" t="str">
        <x:v>미주</x:v>
      </x:c>
      <x:c r="B23" s="56" t="str">
        <x:v>세인트키츠네비스</x:v>
      </x:c>
      <x:c r="C23" s="56" t="str">
        <x:v>90일</x:v>
      </x:c>
      <x:c r="D23" s="58" t="str">
        <x:v>외교관여권 소지자 : 협정 관용여권 소지자 : 협정 일반여권 소지자 : 상호주의</x:v>
      </x:c>
      <x:c r="E23" s="56" t="str">
        <x:v>비자는 아니나 사전허가 필요</x:v>
      </x:c>
      <x:c r="F23" s="59" t="str">
        <x:v>전자여행허가(ETA)</x:v>
      </x:c>
      <x:c r="G23" s="56" t="str">
        <x:v>예</x:v>
      </x:c>
      <x:c r="H23" s="58" t="str">
        <x:v>최대 90일</x:v>
      </x:c>
      <x:c r="I23" s="58" t="str">
        <x:v>일반 확인</x:v>
      </x:c>
      <x:c r="J23" s="58" t="str">
        <x:v>신청서 작성 보조</x:v>
      </x:c>
      <x:c r="K23" s="60" t="str">
        <x:v>보조자료 분류·공식 확인 필요</x:v>
      </x:c>
      <x:c r="L23" s="56" t="str">
        <x:f>IF(K23="공식 확인 완료","게시 가능","게시 금지")</x:f>
        <x:v>게시 금지</x:v>
      </x:c>
      <x:c r="M23" s="56" t="str">
        <x:v>P0</x:v>
      </x:c>
      <x:c r="N23" s="61" t="str"/>
      <x:c r="O23" s="61" t="str">
        <x:v>https://www.passportindex.org/passport/south-korea/</x:v>
      </x:c>
      <x:c r="P23" s="62"/>
      <x:c r="Q23" s="56" t="str">
        <x:f>IF(P23="","미검증",IF(TODAY()-P23&lt;=90,"최신",IF(TODAY()-P23&lt;=180,"갱신 예정","갱신 필요")))</x:f>
        <x:v>미검증</x:v>
      </x:c>
      <x:c r="R23" s="58" t="str"/>
    </x:row>
    <x:row r="24">
      <x:c r="A24" s="56" t="str">
        <x:v>미주</x:v>
      </x:c>
      <x:c r="B24" s="56" t="str">
        <x:v>수리남</x:v>
      </x:c>
      <x:c r="C24" s="56" t="str">
        <x:v>90일</x:v>
      </x:c>
      <x:c r="D24" s="58" t="str">
        <x:v>외교관여권 소지자 : 협정 관용여권 소지자 : 협정 일반여권 소지자 : 협정</x:v>
      </x:c>
      <x:c r="E24" s="56" t="str">
        <x:v>비자 불필요·등록 필요</x:v>
      </x:c>
      <x:c r="F24" s="59" t="str">
        <x:v>무사증+입국등록</x:v>
      </x:c>
      <x:c r="G24" s="56" t="str">
        <x:v>예</x:v>
      </x:c>
      <x:c r="H24" s="58" t="str">
        <x:v>최대 90일</x:v>
      </x:c>
      <x:c r="I24" s="58" t="str">
        <x:v>일반 확인</x:v>
      </x:c>
      <x:c r="J24" s="58" t="str">
        <x:v>신청서 작성 보조</x:v>
      </x:c>
      <x:c r="K24" s="60" t="str">
        <x:v>보조자료 분류·공식 확인 필요</x:v>
      </x:c>
      <x:c r="L24" s="56" t="str">
        <x:f>IF(K24="공식 확인 완료","게시 가능","게시 금지")</x:f>
        <x:v>게시 금지</x:v>
      </x:c>
      <x:c r="M24" s="56" t="str">
        <x:v>P1</x:v>
      </x:c>
      <x:c r="N24" s="61" t="str"/>
      <x:c r="O24" s="61" t="str">
        <x:v>https://www.passportindex.org/passport/south-korea/</x:v>
      </x:c>
      <x:c r="P24" s="62"/>
      <x:c r="Q24" s="56" t="str">
        <x:f>IF(P24="","미검증",IF(TODAY()-P24&lt;=90,"최신",IF(TODAY()-P24&lt;=180,"갱신 예정","갱신 필요")))</x:f>
        <x:v>미검증</x:v>
      </x:c>
      <x:c r="R24" s="58" t="str">
        <x:v>관광카드/입국 등록 확인</x:v>
      </x:c>
    </x:row>
    <x:row r="25">
      <x:c r="A25" s="56" t="str">
        <x:v>미주</x:v>
      </x:c>
      <x:c r="B25" s="56" t="str">
        <x:v>아르헨티나</x:v>
      </x:c>
      <x:c r="C25" s="56" t="str">
        <x:v>90일</x:v>
      </x:c>
      <x:c r="D25" s="58" t="str">
        <x:v>외교관여권 소지자 : 협정 관용여권 소지자 : 협정 일반여권 소지자 : 일방적 면제</x:v>
      </x:c>
      <x:c r="E25" s="56" t="str">
        <x:v>비자 불필요</x:v>
      </x:c>
      <x:c r="F25" s="59" t="str">
        <x:v>무사증</x:v>
      </x:c>
      <x:c r="G25" s="56" t="str">
        <x:v>아니오</x:v>
      </x:c>
      <x:c r="H25" s="58" t="str">
        <x:v>90일</x:v>
      </x:c>
      <x:c r="I25" s="58" t="str">
        <x:v>일반 확인</x:v>
      </x:c>
      <x:c r="J25" s="58" t="str">
        <x:v>입국 조건 안내</x:v>
      </x:c>
      <x:c r="K25" s="60" t="str">
        <x:v>외교부 기준·갱신 확인 필요</x:v>
      </x:c>
      <x:c r="L25" s="56" t="str">
        <x:f>IF(K25="공식 확인 완료","게시 가능","게시 금지")</x:f>
        <x:v>게시 금지</x:v>
      </x:c>
      <x:c r="M25" s="56" t="str">
        <x:v>P2</x:v>
      </x:c>
      <x:c r="N25" s="61" t="str"/>
      <x:c r="O25" s="61" t="str">
        <x:v>https://www.passportindex.org/passport/south-korea/</x:v>
      </x:c>
      <x:c r="P25" s="62"/>
      <x:c r="Q25" s="56" t="str">
        <x:f>IF(P25="","미검증",IF(TODAY()-P25&lt;=90,"최신",IF(TODAY()-P25&lt;=180,"갱신 예정","갱신 필요")))</x:f>
        <x:v>미검증</x:v>
      </x:c>
      <x:c r="R25" s="58" t="str"/>
    </x:row>
    <x:row r="26">
      <x:c r="A26" s="56" t="str">
        <x:v>미주</x:v>
      </x:c>
      <x:c r="B26" s="56" t="str">
        <x:v>아이티공화국</x:v>
      </x:c>
      <x:c r="C26" s="56" t="str">
        <x:v>90일</x:v>
      </x:c>
      <x:c r="D26" s="58" t="str">
        <x:v>외교관여권 소지자 : 협정 관용여권 소지자 : 협정 일반여권 소지자 : 상호주의</x:v>
      </x:c>
      <x:c r="E26" s="56" t="str">
        <x:v>비자 불필요</x:v>
      </x:c>
      <x:c r="F26" s="59" t="str">
        <x:v>무사증</x:v>
      </x:c>
      <x:c r="G26" s="56" t="str">
        <x:v>아니오</x:v>
      </x:c>
      <x:c r="H26" s="58" t="str">
        <x:v>90일</x:v>
      </x:c>
      <x:c r="I26" s="58" t="str">
        <x:v>여권 사용 제한 대상</x:v>
      </x:c>
      <x:c r="J26" s="58" t="str">
        <x:v>입국 조건 안내</x:v>
      </x:c>
      <x:c r="K26" s="60" t="str">
        <x:v>외교부 기준·갱신 확인 필요</x:v>
      </x:c>
      <x:c r="L26" s="56" t="str">
        <x:f>IF(K26="공식 확인 완료","게시 가능","게시 금지")</x:f>
        <x:v>게시 금지</x:v>
      </x:c>
      <x:c r="M26" s="56" t="str">
        <x:v>P2</x:v>
      </x:c>
      <x:c r="N26" s="61" t="str"/>
      <x:c r="O26" s="61" t="str">
        <x:v>https://www.passportindex.org/passport/south-korea/</x:v>
      </x:c>
      <x:c r="P26" s="62"/>
      <x:c r="Q26" s="56" t="str">
        <x:f>IF(P26="","미검증",IF(TODAY()-P26&lt;=90,"최신",IF(TODAY()-P26&lt;=180,"갱신 예정","갱신 필요")))</x:f>
        <x:v>미검증</x:v>
      </x:c>
      <x:c r="R26" s="58" t="str"/>
    </x:row>
    <x:row r="27">
      <x:c r="A27" s="56" t="str">
        <x:v>미주</x:v>
      </x:c>
      <x:c r="B27" s="56" t="str">
        <x:v>안티구아바부다</x:v>
      </x:c>
      <x:c r="C27" s="56" t="str">
        <x:v>90일</x:v>
      </x:c>
      <x:c r="D27" s="58" t="str">
        <x:v>외교관여권 소지자 : 협정 관용여권 소지자 : 협정 일반여권 소지자 : 상호주의</x:v>
      </x:c>
      <x:c r="E27" s="56" t="str">
        <x:v>비자 불필요</x:v>
      </x:c>
      <x:c r="F27" s="59" t="str">
        <x:v>무사증</x:v>
      </x:c>
      <x:c r="G27" s="56" t="str">
        <x:v>아니오</x:v>
      </x:c>
      <x:c r="H27" s="58" t="str">
        <x:v>90일</x:v>
      </x:c>
      <x:c r="I27" s="58" t="str">
        <x:v>일반 확인</x:v>
      </x:c>
      <x:c r="J27" s="58" t="str">
        <x:v>입국 조건 안내</x:v>
      </x:c>
      <x:c r="K27" s="60" t="str">
        <x:v>외교부 기준·갱신 확인 필요</x:v>
      </x:c>
      <x:c r="L27" s="56" t="str">
        <x:f>IF(K27="공식 확인 완료","게시 가능","게시 금지")</x:f>
        <x:v>게시 금지</x:v>
      </x:c>
      <x:c r="M27" s="56" t="str">
        <x:v>P2</x:v>
      </x:c>
      <x:c r="N27" s="61" t="str"/>
      <x:c r="O27" s="61" t="str">
        <x:v>https://www.passportindex.org/passport/south-korea/</x:v>
      </x:c>
      <x:c r="P27" s="62"/>
      <x:c r="Q27" s="56" t="str">
        <x:f>IF(P27="","미검증",IF(TODAY()-P27&lt;=90,"최신",IF(TODAY()-P27&lt;=180,"갱신 예정","갱신 필요")))</x:f>
        <x:v>미검증</x:v>
      </x:c>
      <x:c r="R27" s="58" t="str"/>
    </x:row>
    <x:row r="28">
      <x:c r="A28" s="56" t="str">
        <x:v>미주</x:v>
      </x:c>
      <x:c r="B28" s="56" t="str">
        <x:v>에콰도르</x:v>
      </x:c>
      <x:c r="C28" s="56" t="str">
        <x:v>90일</x:v>
      </x:c>
      <x:c r="D28" s="58" t="str">
        <x:v>외교관여권 소지자 : 상호주의 관용여권 소지자 : 상호주의 일반여권 소지자 : 협정</x:v>
      </x:c>
      <x:c r="E28" s="56" t="str">
        <x:v>비자 불필요</x:v>
      </x:c>
      <x:c r="F28" s="59" t="str">
        <x:v>무사증</x:v>
      </x:c>
      <x:c r="G28" s="56" t="str">
        <x:v>아니오</x:v>
      </x:c>
      <x:c r="H28" s="58" t="str">
        <x:v>90일</x:v>
      </x:c>
      <x:c r="I28" s="58" t="str">
        <x:v>일반 확인</x:v>
      </x:c>
      <x:c r="J28" s="58" t="str">
        <x:v>입국 조건 안내</x:v>
      </x:c>
      <x:c r="K28" s="60" t="str">
        <x:v>외교부 기준·갱신 확인 필요</x:v>
      </x:c>
      <x:c r="L28" s="56" t="str">
        <x:f>IF(K28="공식 확인 완료","게시 가능","게시 금지")</x:f>
        <x:v>게시 금지</x:v>
      </x:c>
      <x:c r="M28" s="56" t="str">
        <x:v>P2</x:v>
      </x:c>
      <x:c r="N28" s="61" t="str"/>
      <x:c r="O28" s="61" t="str">
        <x:v>https://www.passportindex.org/passport/south-korea/</x:v>
      </x:c>
      <x:c r="P28" s="62"/>
      <x:c r="Q28" s="56" t="str">
        <x:f>IF(P28="","미검증",IF(TODAY()-P28&lt;=90,"최신",IF(TODAY()-P28&lt;=180,"갱신 예정","갱신 필요")))</x:f>
        <x:v>미검증</x:v>
      </x:c>
      <x:c r="R28" s="58" t="str"/>
    </x:row>
    <x:row r="29">
      <x:c r="A29" s="56" t="str">
        <x:v>미주</x:v>
      </x:c>
      <x:c r="B29" s="56" t="str">
        <x:v>엘살바도르</x:v>
      </x:c>
      <x:c r="C29" s="56" t="str">
        <x:v>180일</x:v>
      </x:c>
      <x:c r="D29" s="58" t="str">
        <x:v>외교관여권 소지자 : 협정 관용여권 소지자 : 협정 일반여권 소지자 : 상호주의</x:v>
      </x:c>
      <x:c r="E29" s="56" t="str">
        <x:v>비자 불필요</x:v>
      </x:c>
      <x:c r="F29" s="59" t="str">
        <x:v>무사증</x:v>
      </x:c>
      <x:c r="G29" s="56" t="str">
        <x:v>아니오</x:v>
      </x:c>
      <x:c r="H29" s="58" t="str">
        <x:v>180일</x:v>
      </x:c>
      <x:c r="I29" s="58" t="str">
        <x:v>일반 확인</x:v>
      </x:c>
      <x:c r="J29" s="58" t="str">
        <x:v>입국 조건 안내</x:v>
      </x:c>
      <x:c r="K29" s="60" t="str">
        <x:v>외교부 기준·갱신 확인 필요</x:v>
      </x:c>
      <x:c r="L29" s="56" t="str">
        <x:f>IF(K29="공식 확인 완료","게시 가능","게시 금지")</x:f>
        <x:v>게시 금지</x:v>
      </x:c>
      <x:c r="M29" s="56" t="str">
        <x:v>P2</x:v>
      </x:c>
      <x:c r="N29" s="61" t="str"/>
      <x:c r="O29" s="61" t="str">
        <x:v>https://www.passportindex.org/passport/south-korea/</x:v>
      </x:c>
      <x:c r="P29" s="62"/>
      <x:c r="Q29" s="56" t="str">
        <x:f>IF(P29="","미검증",IF(TODAY()-P29&lt;=90,"최신",IF(TODAY()-P29&lt;=180,"갱신 예정","갱신 필요")))</x:f>
        <x:v>미검증</x:v>
      </x:c>
      <x:c r="R29" s="58" t="str"/>
    </x:row>
    <x:row r="30">
      <x:c r="A30" s="56" t="str">
        <x:v>미주</x:v>
      </x:c>
      <x:c r="B30" s="56" t="str">
        <x:v>온두라스</x:v>
      </x:c>
      <x:c r="C30" s="56" t="str">
        <x:v>90일</x:v>
      </x:c>
      <x:c r="D30" s="58" t="str">
        <x:v>외교관여권 소지자 : 상호주의 관용여권 소지자 : 상호주의 일반여권 소지자 : 상호주의</x:v>
      </x:c>
      <x:c r="E30" s="56" t="str">
        <x:v>비자 불필요</x:v>
      </x:c>
      <x:c r="F30" s="59" t="str">
        <x:v>무사증</x:v>
      </x:c>
      <x:c r="G30" s="56" t="str">
        <x:v>아니오</x:v>
      </x:c>
      <x:c r="H30" s="58" t="str">
        <x:v>90일</x:v>
      </x:c>
      <x:c r="I30" s="58" t="str">
        <x:v>일반 확인</x:v>
      </x:c>
      <x:c r="J30" s="58" t="str">
        <x:v>입국 조건 안내</x:v>
      </x:c>
      <x:c r="K30" s="60" t="str">
        <x:v>외교부 기준·갱신 확인 필요</x:v>
      </x:c>
      <x:c r="L30" s="56" t="str">
        <x:f>IF(K30="공식 확인 완료","게시 가능","게시 금지")</x:f>
        <x:v>게시 금지</x:v>
      </x:c>
      <x:c r="M30" s="56" t="str">
        <x:v>P2</x:v>
      </x:c>
      <x:c r="N30" s="61" t="str"/>
      <x:c r="O30" s="61" t="str">
        <x:v>https://www.passportindex.org/passport/south-korea/</x:v>
      </x:c>
      <x:c r="P30" s="62"/>
      <x:c r="Q30" s="56" t="str">
        <x:f>IF(P30="","미검증",IF(TODAY()-P30&lt;=90,"최신",IF(TODAY()-P30&lt;=180,"갱신 예정","갱신 필요")))</x:f>
        <x:v>미검증</x:v>
      </x:c>
      <x:c r="R30" s="58" t="str"/>
    </x:row>
    <x:row r="31">
      <x:c r="A31" s="56" t="str">
        <x:v>미주</x:v>
      </x:c>
      <x:c r="B31" s="56" t="str">
        <x:v>우루과이</x:v>
      </x:c>
      <x:c r="C31" s="56" t="str">
        <x:v>90일</x:v>
      </x:c>
      <x:c r="D31" s="58" t="str">
        <x:v>외교관여권 소지자 : 협정 관용여권 소지자 : 협정 일반여권 소지자 : 협정</x:v>
      </x:c>
      <x:c r="E31" s="56" t="str">
        <x:v>비자 불필요</x:v>
      </x:c>
      <x:c r="F31" s="59" t="str">
        <x:v>무사증</x:v>
      </x:c>
      <x:c r="G31" s="56" t="str">
        <x:v>아니오</x:v>
      </x:c>
      <x:c r="H31" s="58" t="str">
        <x:v>90일</x:v>
      </x:c>
      <x:c r="I31" s="58" t="str">
        <x:v>일반 확인</x:v>
      </x:c>
      <x:c r="J31" s="58" t="str">
        <x:v>입국 조건 안내</x:v>
      </x:c>
      <x:c r="K31" s="60" t="str">
        <x:v>외교부 기준·갱신 확인 필요</x:v>
      </x:c>
      <x:c r="L31" s="56" t="str">
        <x:f>IF(K31="공식 확인 완료","게시 가능","게시 금지")</x:f>
        <x:v>게시 금지</x:v>
      </x:c>
      <x:c r="M31" s="56" t="str">
        <x:v>P2</x:v>
      </x:c>
      <x:c r="N31" s="61" t="str"/>
      <x:c r="O31" s="61" t="str">
        <x:v>https://www.passportindex.org/passport/south-korea/</x:v>
      </x:c>
      <x:c r="P31" s="62"/>
      <x:c r="Q31" s="56" t="str">
        <x:f>IF(P31="","미검증",IF(TODAY()-P31&lt;=90,"최신",IF(TODAY()-P31&lt;=180,"갱신 예정","갱신 필요")))</x:f>
        <x:v>미검증</x:v>
      </x:c>
      <x:c r="R31" s="58" t="str"/>
    </x:row>
    <x:row r="32">
      <x:c r="A32" s="56" t="str">
        <x:v>미주</x:v>
      </x:c>
      <x:c r="B32" s="56" t="str">
        <x:v>자메이카</x:v>
      </x:c>
      <x:c r="C32" s="56" t="str">
        <x:v>90일</x:v>
      </x:c>
      <x:c r="D32" s="58" t="str">
        <x:v>외교관여권 소지자 : 협정 관용여권 소지자 : 협정 일반여권 소지자 : 협정</x:v>
      </x:c>
      <x:c r="E32" s="56" t="str">
        <x:v>비자 불필요</x:v>
      </x:c>
      <x:c r="F32" s="59" t="str">
        <x:v>무사증</x:v>
      </x:c>
      <x:c r="G32" s="56" t="str">
        <x:v>아니오</x:v>
      </x:c>
      <x:c r="H32" s="58" t="str">
        <x:v>90일</x:v>
      </x:c>
      <x:c r="I32" s="58" t="str">
        <x:v>일반 확인</x:v>
      </x:c>
      <x:c r="J32" s="58" t="str">
        <x:v>입국 조건 안내</x:v>
      </x:c>
      <x:c r="K32" s="60" t="str">
        <x:v>외교부 기준·갱신 확인 필요</x:v>
      </x:c>
      <x:c r="L32" s="56" t="str">
        <x:f>IF(K32="공식 확인 완료","게시 가능","게시 금지")</x:f>
        <x:v>게시 금지</x:v>
      </x:c>
      <x:c r="M32" s="56" t="str">
        <x:v>P2</x:v>
      </x:c>
      <x:c r="N32" s="61" t="str"/>
      <x:c r="O32" s="61" t="str">
        <x:v>https://www.passportindex.org/passport/south-korea/</x:v>
      </x:c>
      <x:c r="P32" s="62"/>
      <x:c r="Q32" s="56" t="str">
        <x:f>IF(P32="","미검증",IF(TODAY()-P32&lt;=90,"최신",IF(TODAY()-P32&lt;=180,"갱신 예정","갱신 필요")))</x:f>
        <x:v>미검증</x:v>
      </x:c>
      <x:c r="R32" s="58" t="str"/>
    </x:row>
    <x:row r="33">
      <x:c r="A33" s="56" t="str">
        <x:v>미주</x:v>
      </x:c>
      <x:c r="B33" s="56" t="str">
        <x:v>칠레</x:v>
      </x:c>
      <x:c r="C33" s="56" t="str">
        <x:v>90일</x:v>
      </x:c>
      <x:c r="D33" s="58" t="str">
        <x:v>외교관여권 소지자 : 협정 관용여권 소지자 : 협정 일반여권 소지자 : 협정</x:v>
      </x:c>
      <x:c r="E33" s="56" t="str">
        <x:v>비자 불필요</x:v>
      </x:c>
      <x:c r="F33" s="59" t="str">
        <x:v>무사증</x:v>
      </x:c>
      <x:c r="G33" s="56" t="str">
        <x:v>아니오</x:v>
      </x:c>
      <x:c r="H33" s="58" t="str">
        <x:v>90일</x:v>
      </x:c>
      <x:c r="I33" s="58" t="str">
        <x:v>일반 확인</x:v>
      </x:c>
      <x:c r="J33" s="58" t="str">
        <x:v>입국 조건 안내</x:v>
      </x:c>
      <x:c r="K33" s="60" t="str">
        <x:v>외교부 기준·갱신 확인 필요</x:v>
      </x:c>
      <x:c r="L33" s="56" t="str">
        <x:f>IF(K33="공식 확인 완료","게시 가능","게시 금지")</x:f>
        <x:v>게시 금지</x:v>
      </x:c>
      <x:c r="M33" s="56" t="str">
        <x:v>P2</x:v>
      </x:c>
      <x:c r="N33" s="61" t="str"/>
      <x:c r="O33" s="61" t="str">
        <x:v>https://www.passportindex.org/passport/south-korea/</x:v>
      </x:c>
      <x:c r="P33" s="62"/>
      <x:c r="Q33" s="56" t="str">
        <x:f>IF(P33="","미검증",IF(TODAY()-P33&lt;=90,"최신",IF(TODAY()-P33&lt;=180,"갱신 예정","갱신 필요")))</x:f>
        <x:v>미검증</x:v>
      </x:c>
      <x:c r="R33" s="58" t="str"/>
    </x:row>
    <x:row r="34">
      <x:c r="A34" s="56" t="str">
        <x:v>미주</x:v>
      </x:c>
      <x:c r="B34" s="56" t="str">
        <x:v>캐나다</x:v>
      </x:c>
      <x:c r="C34" s="56" t="str">
        <x:v>복수여권:O (6개월) 단수여권:인정</x:v>
      </x:c>
      <x:c r="D34" s="58" t="str">
        <x:v>외교관여권 소지자 : * eTA(전자여행허가제) 사전 등록 필요 관용여권 소지자 : * eTA 사전 등록 필요 일반여권 소지자 : * eTA 사전 등록 필요</x:v>
      </x:c>
      <x:c r="E34" s="56" t="str">
        <x:v>비자는 아니나 사전허가 필요</x:v>
      </x:c>
      <x:c r="F34" s="59" t="str">
        <x:v>전자여행허가(ETA)</x:v>
      </x:c>
      <x:c r="G34" s="56" t="str">
        <x:v>예</x:v>
      </x:c>
      <x:c r="H34" s="58" t="str">
        <x:v>최대 6개월</x:v>
      </x:c>
      <x:c r="I34" s="58" t="str">
        <x:v>일반 확인</x:v>
      </x:c>
      <x:c r="J34" s="58" t="str">
        <x:v>신청서 작성 보조</x:v>
      </x:c>
      <x:c r="K34" s="60" t="str">
        <x:v>보조자료 분류·공식 확인 필요</x:v>
      </x:c>
      <x:c r="L34" s="56" t="str">
        <x:f>IF(K34="공식 확인 완료","게시 가능","게시 금지")</x:f>
        <x:v>게시 금지</x:v>
      </x:c>
      <x:c r="M34" s="56" t="str">
        <x:v>P0</x:v>
      </x:c>
      <x:c r="N34" s="61" t="str"/>
      <x:c r="O34" s="61" t="str">
        <x:v>https://www.passportindex.org/passport/south-korea/</x:v>
      </x:c>
      <x:c r="P34" s="62"/>
      <x:c r="Q34" s="56" t="str">
        <x:f>IF(P34="","미검증",IF(TODAY()-P34&lt;=90,"최신",IF(TODAY()-P34&lt;=180,"갱신 예정","갱신 필요")))</x:f>
        <x:v>미검증</x:v>
      </x:c>
      <x:c r="R34" s="58" t="str">
        <x:v>항공 입국 시 eTA 필요 · 외교관여권 소지자 : * eTA(전자여행허가제) 사전 등록 필요 관용여권 소지자 : * eTA 사전 등록 필요 일반여권 소지자 : * eTA 사전 등록 필요</x:v>
      </x:c>
    </x:row>
    <x:row r="35">
      <x:c r="A35" s="56" t="str">
        <x:v>미주</x:v>
      </x:c>
      <x:c r="B35" s="56" t="str">
        <x:v>코스타리카</x:v>
      </x:c>
      <x:c r="C35" s="56" t="str">
        <x:v>180일</x:v>
      </x:c>
      <x:c r="D35" s="58" t="str">
        <x:v>외교관여권 소지자 : 협정 및 행정명령 관용여권 소지자 : 협정 및 행정명령 일반여권 소지자 : 협정 및 행정명령</x:v>
      </x:c>
      <x:c r="E35" s="56" t="str">
        <x:v>비자 불필요</x:v>
      </x:c>
      <x:c r="F35" s="59" t="str">
        <x:v>무사증</x:v>
      </x:c>
      <x:c r="G35" s="56" t="str">
        <x:v>아니오</x:v>
      </x:c>
      <x:c r="H35" s="58" t="str">
        <x:v>180일</x:v>
      </x:c>
      <x:c r="I35" s="58" t="str">
        <x:v>일반 확인</x:v>
      </x:c>
      <x:c r="J35" s="58" t="str">
        <x:v>입국 조건 안내</x:v>
      </x:c>
      <x:c r="K35" s="60" t="str">
        <x:v>외교부 기준·갱신 확인 필요</x:v>
      </x:c>
      <x:c r="L35" s="56" t="str">
        <x:f>IF(K35="공식 확인 완료","게시 가능","게시 금지")</x:f>
        <x:v>게시 금지</x:v>
      </x:c>
      <x:c r="M35" s="56" t="str">
        <x:v>P2</x:v>
      </x:c>
      <x:c r="N35" s="61" t="str"/>
      <x:c r="O35" s="61" t="str">
        <x:v>https://www.passportindex.org/passport/south-korea/</x:v>
      </x:c>
      <x:c r="P35" s="62"/>
      <x:c r="Q35" s="56" t="str">
        <x:f>IF(P35="","미검증",IF(TODAY()-P35&lt;=90,"최신",IF(TODAY()-P35&lt;=180,"갱신 예정","갱신 필요")))</x:f>
        <x:v>미검증</x:v>
      </x:c>
      <x:c r="R35" s="58" t="str"/>
    </x:row>
    <x:row r="36">
      <x:c r="A36" s="56" t="str">
        <x:v>미주</x:v>
      </x:c>
      <x:c r="B36" s="56" t="str">
        <x:v>콜롬비아</x:v>
      </x:c>
      <x:c r="C36" s="56" t="str">
        <x:v>90일</x:v>
      </x:c>
      <x:c r="D36" s="58" t="str">
        <x:v>외교관여권 소지자 : 상호주의 관용여권 소지자 : 상호주의 일반여권 소지자 : 협정</x:v>
      </x:c>
      <x:c r="E36" s="56" t="str">
        <x:v>비자 불필요</x:v>
      </x:c>
      <x:c r="F36" s="59" t="str">
        <x:v>무사증</x:v>
      </x:c>
      <x:c r="G36" s="56" t="str">
        <x:v>아니오</x:v>
      </x:c>
      <x:c r="H36" s="58" t="str">
        <x:v>90일</x:v>
      </x:c>
      <x:c r="I36" s="58" t="str">
        <x:v>일반 확인</x:v>
      </x:c>
      <x:c r="J36" s="58" t="str">
        <x:v>입국 조건 안내</x:v>
      </x:c>
      <x:c r="K36" s="60" t="str">
        <x:v>외교부 기준·갱신 확인 필요</x:v>
      </x:c>
      <x:c r="L36" s="56" t="str">
        <x:f>IF(K36="공식 확인 완료","게시 가능","게시 금지")</x:f>
        <x:v>게시 금지</x:v>
      </x:c>
      <x:c r="M36" s="56" t="str">
        <x:v>P2</x:v>
      </x:c>
      <x:c r="N36" s="61" t="str"/>
      <x:c r="O36" s="61" t="str">
        <x:v>https://www.passportindex.org/passport/south-korea/</x:v>
      </x:c>
      <x:c r="P36" s="62"/>
      <x:c r="Q36" s="56" t="str">
        <x:f>IF(P36="","미검증",IF(TODAY()-P36&lt;=90,"최신",IF(TODAY()-P36&lt;=180,"갱신 예정","갱신 필요")))</x:f>
        <x:v>미검증</x:v>
      </x:c>
      <x:c r="R36" s="58" t="str"/>
    </x:row>
    <x:row r="37">
      <x:c r="A37" s="56" t="str">
        <x:v>미주</x:v>
      </x:c>
      <x:c r="B37" s="56" t="str">
        <x:v>쿠바</x:v>
      </x:c>
      <x:c r="C37" s="56" t="str">
        <x:v>X</x:v>
      </x:c>
      <x:c r="D37" s="58" t="str"/>
      <x:c r="E37" s="56" t="str">
        <x:v>사전 비자 필요</x:v>
      </x:c>
      <x:c r="F37" s="59" t="str">
        <x:v>전자비자(eVisa)</x:v>
      </x:c>
      <x:c r="G37" s="56" t="str">
        <x:v>예</x:v>
      </x:c>
      <x:c r="H37" s="58" t="str">
        <x:v>최대 90일</x:v>
      </x:c>
      <x:c r="I37" s="58" t="str">
        <x:v>일반 확인</x:v>
      </x:c>
      <x:c r="J37" s="58" t="str">
        <x:v>신청서 작성 보조</x:v>
      </x:c>
      <x:c r="K37" s="60" t="str">
        <x:v>보조자료 분류·공식 확인 필요</x:v>
      </x:c>
      <x:c r="L37" s="56" t="str">
        <x:f>IF(K37="공식 확인 완료","게시 가능","게시 금지")</x:f>
        <x:v>게시 금지</x:v>
      </x:c>
      <x:c r="M37" s="56" t="str">
        <x:v>P0</x:v>
      </x:c>
      <x:c r="N37" s="61" t="str"/>
      <x:c r="O37" s="61" t="str">
        <x:v>https://www.passportindex.org/passport/south-korea/</x:v>
      </x:c>
      <x:c r="P37" s="62"/>
      <x:c r="Q37" s="56" t="str">
        <x:f>IF(P37="","미검증",IF(TODAY()-P37&lt;=90,"최신",IF(TODAY()-P37&lt;=180,"갱신 예정","갱신 필요")))</x:f>
        <x:v>미검증</x:v>
      </x:c>
      <x:c r="R37" s="58" t="str"/>
    </x:row>
    <x:row r="38">
      <x:c r="A38" s="56" t="str">
        <x:v>미주</x:v>
      </x:c>
      <x:c r="B38" s="56" t="str">
        <x:v>트리니다드토바고</x:v>
      </x:c>
      <x:c r="C38" s="56" t="str">
        <x:v>90일</x:v>
      </x:c>
      <x:c r="D38" s="58" t="str">
        <x:v>외교관여권 소지자 : 협정 관용여권 소지자 : 협정 일반여권 소지자 : 협정</x:v>
      </x:c>
      <x:c r="E38" s="56" t="str">
        <x:v>비자 불필요</x:v>
      </x:c>
      <x:c r="F38" s="59" t="str">
        <x:v>무사증</x:v>
      </x:c>
      <x:c r="G38" s="56" t="str">
        <x:v>아니오</x:v>
      </x:c>
      <x:c r="H38" s="58" t="str">
        <x:v>90일</x:v>
      </x:c>
      <x:c r="I38" s="58" t="str">
        <x:v>일반 확인</x:v>
      </x:c>
      <x:c r="J38" s="58" t="str">
        <x:v>입국 조건 안내</x:v>
      </x:c>
      <x:c r="K38" s="60" t="str">
        <x:v>외교부 기준·갱신 확인 필요</x:v>
      </x:c>
      <x:c r="L38" s="56" t="str">
        <x:f>IF(K38="공식 확인 완료","게시 가능","게시 금지")</x:f>
        <x:v>게시 금지</x:v>
      </x:c>
      <x:c r="M38" s="56" t="str">
        <x:v>P2</x:v>
      </x:c>
      <x:c r="N38" s="61" t="str"/>
      <x:c r="O38" s="61" t="str">
        <x:v>https://www.passportindex.org/passport/south-korea/</x:v>
      </x:c>
      <x:c r="P38" s="62"/>
      <x:c r="Q38" s="56" t="str">
        <x:f>IF(P38="","미검증",IF(TODAY()-P38&lt;=90,"최신",IF(TODAY()-P38&lt;=180,"갱신 예정","갱신 필요")))</x:f>
        <x:v>미검증</x:v>
      </x:c>
      <x:c r="R38" s="58" t="str"/>
    </x:row>
    <x:row r="39">
      <x:c r="A39" s="56" t="str">
        <x:v>미주</x:v>
      </x:c>
      <x:c r="B39" s="56" t="str">
        <x:v>파나마</x:v>
      </x:c>
      <x:c r="C39" s="56" t="str">
        <x:v>90일</x:v>
      </x:c>
      <x:c r="D39" s="58" t="str">
        <x:v>외교관여권 소지자 : 협정 관용여권 소지자 : 협정 일반여권 소지자 : 협정</x:v>
      </x:c>
      <x:c r="E39" s="56" t="str">
        <x:v>비자 불필요</x:v>
      </x:c>
      <x:c r="F39" s="59" t="str">
        <x:v>무사증</x:v>
      </x:c>
      <x:c r="G39" s="56" t="str">
        <x:v>아니오</x:v>
      </x:c>
      <x:c r="H39" s="58" t="str">
        <x:v>90일</x:v>
      </x:c>
      <x:c r="I39" s="58" t="str">
        <x:v>일반 확인</x:v>
      </x:c>
      <x:c r="J39" s="58" t="str">
        <x:v>입국 조건 안내</x:v>
      </x:c>
      <x:c r="K39" s="60" t="str">
        <x:v>외교부 기준·갱신 확인 필요</x:v>
      </x:c>
      <x:c r="L39" s="56" t="str">
        <x:f>IF(K39="공식 확인 완료","게시 가능","게시 금지")</x:f>
        <x:v>게시 금지</x:v>
      </x:c>
      <x:c r="M39" s="56" t="str">
        <x:v>P2</x:v>
      </x:c>
      <x:c r="N39" s="61" t="str"/>
      <x:c r="O39" s="61" t="str">
        <x:v>https://www.passportindex.org/passport/south-korea/</x:v>
      </x:c>
      <x:c r="P39" s="62"/>
      <x:c r="Q39" s="56" t="str">
        <x:f>IF(P39="","미검증",IF(TODAY()-P39&lt;=90,"최신",IF(TODAY()-P39&lt;=180,"갱신 예정","갱신 필요")))</x:f>
        <x:v>미검증</x:v>
      </x:c>
      <x:c r="R39" s="58" t="str"/>
    </x:row>
    <x:row r="40">
      <x:c r="A40" s="56" t="str">
        <x:v>미주</x:v>
      </x:c>
      <x:c r="B40" s="56" t="str">
        <x:v>파라과이</x:v>
      </x:c>
      <x:c r="C40" s="56" t="str">
        <x:v>30일</x:v>
      </x:c>
      <x:c r="D40" s="58" t="str">
        <x:v>외교관여권 소지자 : 협정 관용여권 소지자 : 협정 일반여권 소지자 : 상호주의</x:v>
      </x:c>
      <x:c r="E40" s="56" t="str">
        <x:v>비자 불필요</x:v>
      </x:c>
      <x:c r="F40" s="59" t="str">
        <x:v>무사증</x:v>
      </x:c>
      <x:c r="G40" s="56" t="str">
        <x:v>아니오</x:v>
      </x:c>
      <x:c r="H40" s="58" t="str">
        <x:v>30일</x:v>
      </x:c>
      <x:c r="I40" s="58" t="str">
        <x:v>일반 확인</x:v>
      </x:c>
      <x:c r="J40" s="58" t="str">
        <x:v>입국 조건 안내</x:v>
      </x:c>
      <x:c r="K40" s="60" t="str">
        <x:v>외교부 기준·갱신 확인 필요</x:v>
      </x:c>
      <x:c r="L40" s="56" t="str">
        <x:f>IF(K40="공식 확인 완료","게시 가능","게시 금지")</x:f>
        <x:v>게시 금지</x:v>
      </x:c>
      <x:c r="M40" s="56" t="str">
        <x:v>P2</x:v>
      </x:c>
      <x:c r="N40" s="61" t="str"/>
      <x:c r="O40" s="61" t="str">
        <x:v>https://www.passportindex.org/passport/south-korea/</x:v>
      </x:c>
      <x:c r="P40" s="62"/>
      <x:c r="Q40" s="56" t="str">
        <x:f>IF(P40="","미검증",IF(TODAY()-P40&lt;=90,"최신",IF(TODAY()-P40&lt;=180,"갱신 예정","갱신 필요")))</x:f>
        <x:v>미검증</x:v>
      </x:c>
      <x:c r="R40" s="58" t="str"/>
    </x:row>
    <x:row r="41">
      <x:c r="A41" s="56" t="str">
        <x:v>미주</x:v>
      </x:c>
      <x:c r="B41" s="56" t="str">
        <x:v>페루</x:v>
      </x:c>
      <x:c r="C41" s="56" t="str">
        <x:v>최대 90일의 기간 부여</x:v>
      </x:c>
      <x:c r="D41" s="58" t="str">
        <x:v>외교관여권 소지자 : 협정 관용여권 소지자 : 협정 일반여권 소지자 : 협정 · 외교관여권 소지자 : &amp;lt;참고자료&amp;gt; 페루 이민법 규정(Art&amp;iacute;culo 96 Titulo IV Calidad Migratoria - DS 1350) 관용여권 소지자 : &amp;lt;참고자료&amp;gt; 페루 이민법 규정(Art&amp;iacute;culo 96 Titulo IV Calidad Migratoria - DS 1350)</x:v>
      </x:c>
      <x:c r="E41" s="56" t="str">
        <x:v>비자 불필요</x:v>
      </x:c>
      <x:c r="F41" s="59" t="str">
        <x:v>무사증</x:v>
      </x:c>
      <x:c r="G41" s="56" t="str">
        <x:v>아니오</x:v>
      </x:c>
      <x:c r="H41" s="58" t="str">
        <x:v>최대 90일의 기간 부여</x:v>
      </x:c>
      <x:c r="I41" s="58" t="str">
        <x:v>일반 확인</x:v>
      </x:c>
      <x:c r="J41" s="58" t="str">
        <x:v>입국 조건 안내</x:v>
      </x:c>
      <x:c r="K41" s="60" t="str">
        <x:v>외교부 기준·갱신 확인 필요</x:v>
      </x:c>
      <x:c r="L41" s="56" t="str">
        <x:f>IF(K41="공식 확인 완료","게시 가능","게시 금지")</x:f>
        <x:v>게시 금지</x:v>
      </x:c>
      <x:c r="M41" s="56" t="str">
        <x:v>P2</x:v>
      </x:c>
      <x:c r="N41" s="61" t="str"/>
      <x:c r="O41" s="61" t="str">
        <x:v>https://www.passportindex.org/passport/south-korea/</x:v>
      </x:c>
      <x:c r="P41" s="62"/>
      <x:c r="Q41" s="56" t="str">
        <x:f>IF(P41="","미검증",IF(TODAY()-P41&lt;=90,"최신",IF(TODAY()-P41&lt;=180,"갱신 예정","갱신 필요")))</x:f>
        <x:v>미검증</x:v>
      </x:c>
      <x:c r="R41" s="58" t="str">
        <x:v>외교관여권 소지자 : &amp;lt;참고자료&amp;gt; 페루 이민법 규정(Art&amp;iacute;culo 96 Titulo IV Calidad Migratoria - DS 1350) 관용여권 소지자 : &amp;lt;참고자료&amp;gt; 페루 이민법 규정(Art&amp;iacute;culo 96 Titulo IV Calidad Migratoria - DS 1350)</x:v>
      </x:c>
    </x:row>
    <x:row r="42">
      <x:c r="A42" s="56" t="str">
        <x:v>아시아/태평양</x:v>
      </x:c>
      <x:c r="B42" s="56" t="str">
        <x:v>나우루</x:v>
      </x:c>
      <x:c r="C42" s="56" t="str">
        <x:v>X</x:v>
      </x:c>
      <x:c r="D42" s="58" t="str"/>
      <x:c r="E42" s="56" t="str">
        <x:v>사전 비자 필요</x:v>
      </x:c>
      <x:c r="F42" s="59" t="str">
        <x:v>대사관·영사관 사전비자</x:v>
      </x:c>
      <x:c r="G42" s="56" t="str">
        <x:v>예</x:v>
      </x:c>
      <x:c r="H42" s="58" t="str"/>
      <x:c r="I42" s="58" t="str">
        <x:v>일반 확인</x:v>
      </x:c>
      <x:c r="J42" s="58" t="str">
        <x:v>신청서 작성 보조</x:v>
      </x:c>
      <x:c r="K42" s="60" t="str">
        <x:v>보조자료 분류·공식 확인 필요</x:v>
      </x:c>
      <x:c r="L42" s="56" t="str">
        <x:f>IF(K42="공식 확인 완료","게시 가능","게시 금지")</x:f>
        <x:v>게시 금지</x:v>
      </x:c>
      <x:c r="M42" s="56" t="str">
        <x:v>P0</x:v>
      </x:c>
      <x:c r="N42" s="61" t="str"/>
      <x:c r="O42" s="61" t="str">
        <x:v>https://www.passportindex.org/passport/south-korea/</x:v>
      </x:c>
      <x:c r="P42" s="62"/>
      <x:c r="Q42" s="56" t="str">
        <x:f>IF(P42="","미검증",IF(TODAY()-P42&lt;=90,"최신",IF(TODAY()-P42&lt;=180,"갱신 예정","갱신 필요")))</x:f>
        <x:v>미검증</x:v>
      </x:c>
      <x:c r="R42" s="58" t="str"/>
    </x:row>
    <x:row r="43">
      <x:c r="A43" s="56" t="str">
        <x:v>아시아/태평양</x:v>
      </x:c>
      <x:c r="B43" s="56" t="str">
        <x:v>네팔</x:v>
      </x:c>
      <x:c r="C43" s="56" t="str">
        <x:v>X</x:v>
      </x:c>
      <x:c r="D43" s="58" t="str"/>
      <x:c r="E43" s="56" t="str">
        <x:v>전자 또는 도착비자 필요</x:v>
      </x:c>
      <x:c r="F43" s="59" t="str">
        <x:v>전자비자/도착비자</x:v>
      </x:c>
      <x:c r="G43" s="56" t="str">
        <x:v>선택 가능</x:v>
      </x:c>
      <x:c r="H43" s="58" t="str"/>
      <x:c r="I43" s="58" t="str">
        <x:v>일반 확인</x:v>
      </x:c>
      <x:c r="J43" s="58" t="str">
        <x:v>준비물·현장 절차 안내</x:v>
      </x:c>
      <x:c r="K43" s="60" t="str">
        <x:v>보조자료 분류·공식 확인 필요</x:v>
      </x:c>
      <x:c r="L43" s="56" t="str">
        <x:f>IF(K43="공식 확인 완료","게시 가능","게시 금지")</x:f>
        <x:v>게시 금지</x:v>
      </x:c>
      <x:c r="M43" s="56" t="str">
        <x:v>P1</x:v>
      </x:c>
      <x:c r="N43" s="61" t="str"/>
      <x:c r="O43" s="61" t="str">
        <x:v>https://www.passportindex.org/passport/south-korea/</x:v>
      </x:c>
      <x:c r="P43" s="62"/>
      <x:c r="Q43" s="56" t="str">
        <x:f>IF(P43="","미검증",IF(TODAY()-P43&lt;=90,"최신",IF(TODAY()-P43&lt;=180,"갱신 예정","갱신 필요")))</x:f>
        <x:v>미검증</x:v>
      </x:c>
      <x:c r="R43" s="58" t="str">
        <x:v>도착비자 체류기간 선택형</x:v>
      </x:c>
    </x:row>
    <x:row r="44">
      <x:c r="A44" s="56" t="str">
        <x:v>아시아/태평양</x:v>
      </x:c>
      <x:c r="B44" s="56" t="str">
        <x:v>뉴질랜드</x:v>
      </x:c>
      <x:c r="C44" s="56" t="str">
        <x:v>90일</x:v>
      </x:c>
      <x:c r="D44" s="58" t="str">
        <x:v>외교관여권 소지자 : 협정 관용여권 소지자 : 협정 일반여권 소지자 : 협정</x:v>
      </x:c>
      <x:c r="E44" s="56" t="str">
        <x:v>비자는 아니나 사전허가 필요</x:v>
      </x:c>
      <x:c r="F44" s="59" t="str">
        <x:v>전자여행허가(ETA)</x:v>
      </x:c>
      <x:c r="G44" s="56" t="str">
        <x:v>예</x:v>
      </x:c>
      <x:c r="H44" s="58" t="str">
        <x:v>최대 3개월</x:v>
      </x:c>
      <x:c r="I44" s="58" t="str">
        <x:v>일반 확인</x:v>
      </x:c>
      <x:c r="J44" s="58" t="str">
        <x:v>신청서 작성 보조</x:v>
      </x:c>
      <x:c r="K44" s="60" t="str">
        <x:v>공식 확인 완료</x:v>
      </x:c>
      <x:c r="L44" s="56" t="str">
        <x:f>IF(K44="공식 확인 완료","게시 가능","게시 금지")</x:f>
        <x:v>게시 가능</x:v>
      </x:c>
      <x:c r="M44" s="56" t="str">
        <x:v>P2</x:v>
      </x:c>
      <x:c r="N44" s="61" t="str">
        <x:v>https://www.immigration.govt.nz/visas/new-zealand-electronic-travel-authority-nzeta/</x:v>
      </x:c>
      <x:c r="O44" s="61" t="str"/>
      <x:c r="P44" s="62" t="n">
        <x:v>46258</x:v>
      </x:c>
      <x:c r="Q44" s="56" t="str">
        <x:f>IF(P44="","미검증",IF(TODAY()-P44&lt;=90,"최신",IF(TODAY()-P44&lt;=180,"갱신 예정","갱신 필요")))</x:f>
        <x:v>최신</x:v>
      </x:c>
      <x:c r="R44" s="58" t="str">
        <x:v>NZeTA 필요</x:v>
      </x:c>
    </x:row>
    <x:row r="45">
      <x:c r="A45" s="56" t="str">
        <x:v>아시아/태평양</x:v>
      </x:c>
      <x:c r="B45" s="56" t="str">
        <x:v>니우에</x:v>
      </x:c>
      <x:c r="C45" s="56" t="str">
        <x:v>29일</x:v>
      </x:c>
      <x:c r="D45" s="58" t="str">
        <x:v>외교관여권 소지자 : 일방 관용여권 소지자 : 일방 일반여권 소지자 : 일방</x:v>
      </x:c>
      <x:c r="E45" s="56" t="str">
        <x:v>비자 불필요</x:v>
      </x:c>
      <x:c r="F45" s="59" t="str">
        <x:v>무사증</x:v>
      </x:c>
      <x:c r="G45" s="56" t="str">
        <x:v>아니오</x:v>
      </x:c>
      <x:c r="H45" s="58" t="str">
        <x:v>29일</x:v>
      </x:c>
      <x:c r="I45" s="58" t="str">
        <x:v>일반 확인</x:v>
      </x:c>
      <x:c r="J45" s="58" t="str">
        <x:v>입국 조건 안내</x:v>
      </x:c>
      <x:c r="K45" s="60" t="str">
        <x:v>외교부 기준·갱신 확인 필요</x:v>
      </x:c>
      <x:c r="L45" s="56" t="str">
        <x:f>IF(K45="공식 확인 완료","게시 가능","게시 금지")</x:f>
        <x:v>게시 금지</x:v>
      </x:c>
      <x:c r="M45" s="56" t="str">
        <x:v>P2</x:v>
      </x:c>
      <x:c r="N45" s="61" t="str"/>
      <x:c r="O45" s="61" t="str">
        <x:v>https://www.passportindex.org/passport/south-korea/</x:v>
      </x:c>
      <x:c r="P45" s="62"/>
      <x:c r="Q45" s="56" t="str">
        <x:f>IF(P45="","미검증",IF(TODAY()-P45&lt;=90,"최신",IF(TODAY()-P45&lt;=180,"갱신 예정","갱신 필요")))</x:f>
        <x:v>미검증</x:v>
      </x:c>
      <x:c r="R45" s="58" t="str"/>
    </x:row>
    <x:row r="46">
      <x:c r="A46" s="56" t="str">
        <x:v>아시아/태평양</x:v>
      </x:c>
      <x:c r="B46" s="56" t="str">
        <x:v>대만</x:v>
      </x:c>
      <x:c r="C46" s="56" t="str">
        <x:v>90일</x:v>
      </x:c>
      <x:c r="D46" s="58" t="str">
        <x:v>일반여권 소지자 : 상호주의</x:v>
      </x:c>
      <x:c r="E46" s="56" t="str">
        <x:v>비자 불필요</x:v>
      </x:c>
      <x:c r="F46" s="59" t="str">
        <x:v>무사증</x:v>
      </x:c>
      <x:c r="G46" s="56" t="str">
        <x:v>아니오</x:v>
      </x:c>
      <x:c r="H46" s="58" t="str">
        <x:v>90일</x:v>
      </x:c>
      <x:c r="I46" s="58" t="str">
        <x:v>일반 확인</x:v>
      </x:c>
      <x:c r="J46" s="58" t="str">
        <x:v>입국 조건 안내</x:v>
      </x:c>
      <x:c r="K46" s="60" t="str">
        <x:v>외교부 기준·갱신 확인 필요</x:v>
      </x:c>
      <x:c r="L46" s="56" t="str">
        <x:f>IF(K46="공식 확인 완료","게시 가능","게시 금지")</x:f>
        <x:v>게시 금지</x:v>
      </x:c>
      <x:c r="M46" s="56" t="str">
        <x:v>P2</x:v>
      </x:c>
      <x:c r="N46" s="61" t="str"/>
      <x:c r="O46" s="61" t="str">
        <x:v>https://www.passportindex.org/passport/south-korea/</x:v>
      </x:c>
      <x:c r="P46" s="62"/>
      <x:c r="Q46" s="56" t="str">
        <x:f>IF(P46="","미검증",IF(TODAY()-P46&lt;=90,"최신",IF(TODAY()-P46&lt;=180,"갱신 예정","갱신 필요")))</x:f>
        <x:v>미검증</x:v>
      </x:c>
      <x:c r="R46" s="58" t="str"/>
    </x:row>
    <x:row r="47">
      <x:c r="A47" s="56" t="str">
        <x:v>아시아/태평양</x:v>
      </x:c>
      <x:c r="B47" s="56" t="str">
        <x:v>동티모르</x:v>
      </x:c>
      <x:c r="C47" s="56" t="str">
        <x:v>X</x:v>
      </x:c>
      <x:c r="D47" s="58" t="str">
        <x:v>외교관여권 소지자 : 일방 관용여권 소지자 : 일방</x:v>
      </x:c>
      <x:c r="E47" s="56" t="str">
        <x:v>도착 후 비자/허가</x:v>
      </x:c>
      <x:c r="F47" s="59" t="str">
        <x:v>도착비자</x:v>
      </x:c>
      <x:c r="G47" s="56" t="str">
        <x:v>아니오</x:v>
      </x:c>
      <x:c r="H47" s="58" t="str">
        <x:v>최대 30일</x:v>
      </x:c>
      <x:c r="I47" s="58" t="str">
        <x:v>일반 확인</x:v>
      </x:c>
      <x:c r="J47" s="58" t="str">
        <x:v>준비물·현장 절차 안내</x:v>
      </x:c>
      <x:c r="K47" s="60" t="str">
        <x:v>보조자료 분류·공식 확인 필요</x:v>
      </x:c>
      <x:c r="L47" s="56" t="str">
        <x:f>IF(K47="공식 확인 완료","게시 가능","게시 금지")</x:f>
        <x:v>게시 금지</x:v>
      </x:c>
      <x:c r="M47" s="56" t="str">
        <x:v>P1</x:v>
      </x:c>
      <x:c r="N47" s="61" t="str"/>
      <x:c r="O47" s="61" t="str">
        <x:v>https://www.passportindex.org/passport/south-korea/</x:v>
      </x:c>
      <x:c r="P47" s="62"/>
      <x:c r="Q47" s="56" t="str">
        <x:f>IF(P47="","미검증",IF(TODAY()-P47&lt;=90,"최신",IF(TODAY()-P47&lt;=180,"갱신 예정","갱신 필요")))</x:f>
        <x:v>미검증</x:v>
      </x:c>
      <x:c r="R47" s="58" t="str"/>
    </x:row>
    <x:row r="48">
      <x:c r="A48" s="56" t="str">
        <x:v>아시아/태평양</x:v>
      </x:c>
      <x:c r="B48" s="56" t="str">
        <x:v>라오스</x:v>
      </x:c>
      <x:c r="C48" s="56" t="str">
        <x:v>30일</x:v>
      </x:c>
      <x:c r="D48" s="58" t="str">
        <x:v>외교관여권 소지자 : 협정 관용여권 소지자 : 협정 일반여권 소지자 : 일방</x:v>
      </x:c>
      <x:c r="E48" s="56" t="str">
        <x:v>비자 불필요</x:v>
      </x:c>
      <x:c r="F48" s="59" t="str">
        <x:v>무사증</x:v>
      </x:c>
      <x:c r="G48" s="56" t="str">
        <x:v>아니오</x:v>
      </x:c>
      <x:c r="H48" s="58" t="str">
        <x:v>30일</x:v>
      </x:c>
      <x:c r="I48" s="58" t="str">
        <x:v>일반 확인</x:v>
      </x:c>
      <x:c r="J48" s="58" t="str">
        <x:v>입국 조건 안내</x:v>
      </x:c>
      <x:c r="K48" s="60" t="str">
        <x:v>외교부 기준·갱신 확인 필요</x:v>
      </x:c>
      <x:c r="L48" s="56" t="str">
        <x:f>IF(K48="공식 확인 완료","게시 가능","게시 금지")</x:f>
        <x:v>게시 금지</x:v>
      </x:c>
      <x:c r="M48" s="56" t="str">
        <x:v>P2</x:v>
      </x:c>
      <x:c r="N48" s="61" t="str"/>
      <x:c r="O48" s="61" t="str">
        <x:v>https://www.passportindex.org/passport/south-korea/</x:v>
      </x:c>
      <x:c r="P48" s="62"/>
      <x:c r="Q48" s="56" t="str">
        <x:f>IF(P48="","미검증",IF(TODAY()-P48&lt;=90,"최신",IF(TODAY()-P48&lt;=180,"갱신 예정","갱신 필요")))</x:f>
        <x:v>미검증</x:v>
      </x:c>
      <x:c r="R48" s="58" t="str"/>
    </x:row>
    <x:row r="49">
      <x:c r="A49" s="56" t="str">
        <x:v>아시아/태평양</x:v>
      </x:c>
      <x:c r="B49" s="56" t="str">
        <x:v>마셜제도</x:v>
      </x:c>
      <x:c r="C49" s="56" t="str">
        <x:v>30일</x:v>
      </x:c>
      <x:c r="D49" s="58" t="str">
        <x:v>외교관여권 소지자 : 상호주의 관용여권 소지자 : 상호주의 일반여권 소지자 : 상호주의</x:v>
      </x:c>
      <x:c r="E49" s="56" t="str">
        <x:v>비자 불필요</x:v>
      </x:c>
      <x:c r="F49" s="59" t="str">
        <x:v>무사증</x:v>
      </x:c>
      <x:c r="G49" s="56" t="str">
        <x:v>아니오</x:v>
      </x:c>
      <x:c r="H49" s="58" t="str">
        <x:v>30일</x:v>
      </x:c>
      <x:c r="I49" s="58" t="str">
        <x:v>일반 확인</x:v>
      </x:c>
      <x:c r="J49" s="58" t="str">
        <x:v>입국 조건 안내</x:v>
      </x:c>
      <x:c r="K49" s="60" t="str">
        <x:v>외교부 기준·갱신 확인 필요</x:v>
      </x:c>
      <x:c r="L49" s="56" t="str">
        <x:f>IF(K49="공식 확인 완료","게시 가능","게시 금지")</x:f>
        <x:v>게시 금지</x:v>
      </x:c>
      <x:c r="M49" s="56" t="str">
        <x:v>P2</x:v>
      </x:c>
      <x:c r="N49" s="61" t="str"/>
      <x:c r="O49" s="61" t="str">
        <x:v>https://www.passportindex.org/passport/south-korea/</x:v>
      </x:c>
      <x:c r="P49" s="62"/>
      <x:c r="Q49" s="56" t="str">
        <x:f>IF(P49="","미검증",IF(TODAY()-P49&lt;=90,"최신",IF(TODAY()-P49&lt;=180,"갱신 예정","갱신 필요")))</x:f>
        <x:v>미검증</x:v>
      </x:c>
      <x:c r="R49" s="58" t="str"/>
    </x:row>
    <x:row r="50">
      <x:c r="A50" s="56" t="str">
        <x:v>아시아/태평양</x:v>
      </x:c>
      <x:c r="B50" s="56" t="str">
        <x:v>마이크로네시아</x:v>
      </x:c>
      <x:c r="C50" s="56" t="str">
        <x:v>30일</x:v>
      </x:c>
      <x:c r="D50" s="58" t="str">
        <x:v>외교관여권 소지자 : 상호주의 관용여권 소지자 : 상호주의 일반여권 소지자 : 상호주의</x:v>
      </x:c>
      <x:c r="E50" s="56" t="str">
        <x:v>비자 불필요</x:v>
      </x:c>
      <x:c r="F50" s="59" t="str">
        <x:v>무사증</x:v>
      </x:c>
      <x:c r="G50" s="56" t="str">
        <x:v>아니오</x:v>
      </x:c>
      <x:c r="H50" s="58" t="str">
        <x:v>30일</x:v>
      </x:c>
      <x:c r="I50" s="58" t="str">
        <x:v>일반 확인</x:v>
      </x:c>
      <x:c r="J50" s="58" t="str">
        <x:v>입국 조건 안내</x:v>
      </x:c>
      <x:c r="K50" s="60" t="str">
        <x:v>외교부 기준·갱신 확인 필요</x:v>
      </x:c>
      <x:c r="L50" s="56" t="str">
        <x:f>IF(K50="공식 확인 완료","게시 가능","게시 금지")</x:f>
        <x:v>게시 금지</x:v>
      </x:c>
      <x:c r="M50" s="56" t="str">
        <x:v>P2</x:v>
      </x:c>
      <x:c r="N50" s="61" t="str"/>
      <x:c r="O50" s="61" t="str">
        <x:v>https://www.passportindex.org/passport/south-korea/</x:v>
      </x:c>
      <x:c r="P50" s="62"/>
      <x:c r="Q50" s="56" t="str">
        <x:f>IF(P50="","미검증",IF(TODAY()-P50&lt;=90,"최신",IF(TODAY()-P50&lt;=180,"갱신 예정","갱신 필요")))</x:f>
        <x:v>미검증</x:v>
      </x:c>
      <x:c r="R50" s="58" t="str"/>
    </x:row>
    <x:row r="51">
      <x:c r="A51" s="56" t="str">
        <x:v>아시아/태평양</x:v>
      </x:c>
      <x:c r="B51" s="56" t="str">
        <x:v>마카오</x:v>
      </x:c>
      <x:c r="C51" s="56" t="str">
        <x:v>90일</x:v>
      </x:c>
      <x:c r="D51" s="58" t="str">
        <x:v>외교관여권 소지자 : 상호주의 관용여권 소지자 : 상호주의 일반여권 소지자 : 상호주의</x:v>
      </x:c>
      <x:c r="E51" s="56" t="str">
        <x:v>비자 불필요</x:v>
      </x:c>
      <x:c r="F51" s="59" t="str">
        <x:v>무사증</x:v>
      </x:c>
      <x:c r="G51" s="56" t="str">
        <x:v>아니오</x:v>
      </x:c>
      <x:c r="H51" s="58" t="str">
        <x:v>90일</x:v>
      </x:c>
      <x:c r="I51" s="58" t="str">
        <x:v>일반 확인</x:v>
      </x:c>
      <x:c r="J51" s="58" t="str">
        <x:v>입국 조건 안내</x:v>
      </x:c>
      <x:c r="K51" s="60" t="str">
        <x:v>외교부 기준·갱신 확인 필요</x:v>
      </x:c>
      <x:c r="L51" s="56" t="str">
        <x:f>IF(K51="공식 확인 완료","게시 가능","게시 금지")</x:f>
        <x:v>게시 금지</x:v>
      </x:c>
      <x:c r="M51" s="56" t="str">
        <x:v>P2</x:v>
      </x:c>
      <x:c r="N51" s="61" t="str"/>
      <x:c r="O51" s="61" t="str">
        <x:v>https://www.passportindex.org/passport/south-korea/</x:v>
      </x:c>
      <x:c r="P51" s="62"/>
      <x:c r="Q51" s="56" t="str">
        <x:f>IF(P51="","미검증",IF(TODAY()-P51&lt;=90,"최신",IF(TODAY()-P51&lt;=180,"갱신 예정","갱신 필요")))</x:f>
        <x:v>미검증</x:v>
      </x:c>
      <x:c r="R51" s="58" t="str"/>
    </x:row>
    <x:row r="52">
      <x:c r="A52" s="56" t="str">
        <x:v>아시아/태평양</x:v>
      </x:c>
      <x:c r="B52" s="56" t="str">
        <x:v>말레이시아</x:v>
      </x:c>
      <x:c r="C52" s="56" t="str">
        <x:v>90일</x:v>
      </x:c>
      <x:c r="D52" s="58" t="str">
        <x:v>외교관여권 소지자 : 협정 관용여권 소지자 : 협정 일반여권 소지자 : 협정</x:v>
      </x:c>
      <x:c r="E52" s="56" t="str">
        <x:v>비자 불필요·등록 필요</x:v>
      </x:c>
      <x:c r="F52" s="59" t="str">
        <x:v>무사증+입국등록</x:v>
      </x:c>
      <x:c r="G52" s="56" t="str">
        <x:v>예</x:v>
      </x:c>
      <x:c r="H52" s="58" t="str">
        <x:v>최대 90일</x:v>
      </x:c>
      <x:c r="I52" s="58" t="str">
        <x:v>일반 확인</x:v>
      </x:c>
      <x:c r="J52" s="58" t="str">
        <x:v>신청서 작성 보조</x:v>
      </x:c>
      <x:c r="K52" s="60" t="str">
        <x:v>보조자료 분류·공식 확인 필요</x:v>
      </x:c>
      <x:c r="L52" s="56" t="str">
        <x:f>IF(K52="공식 확인 완료","게시 가능","게시 금지")</x:f>
        <x:v>게시 금지</x:v>
      </x:c>
      <x:c r="M52" s="56" t="str">
        <x:v>P1</x:v>
      </x:c>
      <x:c r="N52" s="61" t="str"/>
      <x:c r="O52" s="61" t="str">
        <x:v>https://www.passportindex.org/passport/south-korea/</x:v>
      </x:c>
      <x:c r="P52" s="62"/>
      <x:c r="Q52" s="56" t="str">
        <x:f>IF(P52="","미검증",IF(TODAY()-P52&lt;=90,"최신",IF(TODAY()-P52&lt;=180,"갱신 예정","갱신 필요")))</x:f>
        <x:v>미검증</x:v>
      </x:c>
      <x:c r="R52" s="58" t="str">
        <x:v>도착 전 입국카드 등록</x:v>
      </x:c>
    </x:row>
    <x:row r="53">
      <x:c r="A53" s="56" t="str">
        <x:v>아시아/태평양</x:v>
      </x:c>
      <x:c r="B53" s="56" t="str">
        <x:v>몰디브</x:v>
      </x:c>
      <x:c r="C53" s="56" t="str">
        <x:v>X</x:v>
      </x:c>
      <x:c r="D53" s="58" t="str"/>
      <x:c r="E53" s="56" t="str">
        <x:v>도착 후 비자/허가</x:v>
      </x:c>
      <x:c r="F53" s="59" t="str">
        <x:v>도착비자</x:v>
      </x:c>
      <x:c r="G53" s="56" t="str">
        <x:v>아니오</x:v>
      </x:c>
      <x:c r="H53" s="58" t="str">
        <x:v>최대 30일</x:v>
      </x:c>
      <x:c r="I53" s="58" t="str">
        <x:v>일반 확인</x:v>
      </x:c>
      <x:c r="J53" s="58" t="str">
        <x:v>준비물·현장 절차 안내</x:v>
      </x:c>
      <x:c r="K53" s="60" t="str">
        <x:v>보조자료 분류·공식 확인 필요</x:v>
      </x:c>
      <x:c r="L53" s="56" t="str">
        <x:f>IF(K53="공식 확인 완료","게시 가능","게시 금지")</x:f>
        <x:v>게시 금지</x:v>
      </x:c>
      <x:c r="M53" s="56" t="str">
        <x:v>P1</x:v>
      </x:c>
      <x:c r="N53" s="61" t="str"/>
      <x:c r="O53" s="61" t="str">
        <x:v>https://www.passportindex.org/passport/south-korea/</x:v>
      </x:c>
      <x:c r="P53" s="62"/>
      <x:c r="Q53" s="56" t="str">
        <x:f>IF(P53="","미검증",IF(TODAY()-P53&lt;=90,"최신",IF(TODAY()-P53&lt;=180,"갱신 예정","갱신 필요")))</x:f>
        <x:v>미검증</x:v>
      </x:c>
      <x:c r="R53" s="58" t="str"/>
    </x:row>
    <x:row r="54">
      <x:c r="A54" s="56" t="str">
        <x:v>아시아/태평양</x:v>
      </x:c>
      <x:c r="B54" s="56" t="str">
        <x:v>몽골</x:v>
      </x:c>
      <x:c r="C54" s="56" t="str">
        <x:v>관광목적 90일 비자면제</x:v>
      </x:c>
      <x:c r="D54" s="58" t="str">
        <x:v>외교관여권 소지자 : 협정 (2012년5월31일) 관용여권 소지자 : 협정 (2012년5월31일) 일반여권 소지자 : 일방 (2022.6.1.~2026.12.31.까지)</x:v>
      </x:c>
      <x:c r="E54" s="56" t="str">
        <x:v>비자 불필요</x:v>
      </x:c>
      <x:c r="F54" s="59" t="str">
        <x:v>무사증</x:v>
      </x:c>
      <x:c r="G54" s="56" t="str">
        <x:v>아니오</x:v>
      </x:c>
      <x:c r="H54" s="58" t="str">
        <x:v>관광목적 90일 비자면제</x:v>
      </x:c>
      <x:c r="I54" s="58" t="str">
        <x:v>일반 확인</x:v>
      </x:c>
      <x:c r="J54" s="58" t="str">
        <x:v>입국 조건 안내</x:v>
      </x:c>
      <x:c r="K54" s="60" t="str">
        <x:v>공식 확인 완료</x:v>
      </x:c>
      <x:c r="L54" s="56" t="str">
        <x:f>IF(K54="공식 확인 완료","게시 가능","게시 금지")</x:f>
        <x:v>게시 가능</x:v>
      </x:c>
      <x:c r="M54" s="56" t="str">
        <x:v>P2</x:v>
      </x:c>
      <x:c r="N54" s="61" t="str">
        <x:v>https://0404.go.kr/ntnSafetyInfo/68/detail</x:v>
      </x:c>
      <x:c r="O54" s="61" t="str"/>
      <x:c r="P54" s="62" t="n">
        <x:v>46258</x:v>
      </x:c>
      <x:c r="Q54" s="56" t="str">
        <x:f>IF(P54="","미검증",IF(TODAY()-P54&lt;=90,"최신",IF(TODAY()-P54&lt;=180,"갱신 예정","갱신 필요")))</x:f>
        <x:v>최신</x:v>
      </x:c>
      <x:c r="R54" s="58" t="str"/>
    </x:row>
    <x:row r="55">
      <x:c r="A55" s="56" t="str">
        <x:v>아시아/태평양</x:v>
      </x:c>
      <x:c r="B55" s="56" t="str">
        <x:v>미얀마</x:v>
      </x:c>
      <x:c r="C55" s="56" t="str">
        <x:v>X</x:v>
      </x:c>
      <x:c r="D55" s="58" t="str"/>
      <x:c r="E55" s="56" t="str">
        <x:v>전자 또는 도착비자 필요</x:v>
      </x:c>
      <x:c r="F55" s="59" t="str">
        <x:v>전자비자/도착비자</x:v>
      </x:c>
      <x:c r="G55" s="56" t="str">
        <x:v>선택 가능</x:v>
      </x:c>
      <x:c r="H55" s="58" t="str">
        <x:v>최대 30일</x:v>
      </x:c>
      <x:c r="I55" s="58" t="str">
        <x:v>일부 지역 제한</x:v>
      </x:c>
      <x:c r="J55" s="58" t="str">
        <x:v>준비물·현장 절차 안내</x:v>
      </x:c>
      <x:c r="K55" s="60" t="str">
        <x:v>보조자료 분류·공식 확인 필요</x:v>
      </x:c>
      <x:c r="L55" s="56" t="str">
        <x:f>IF(K55="공식 확인 완료","게시 가능","게시 금지")</x:f>
        <x:v>게시 금지</x:v>
      </x:c>
      <x:c r="M55" s="56" t="str">
        <x:v>P1</x:v>
      </x:c>
      <x:c r="N55" s="61" t="str"/>
      <x:c r="O55" s="61" t="str">
        <x:v>https://www.passportindex.org/passport/south-korea/</x:v>
      </x:c>
      <x:c r="P55" s="62"/>
      <x:c r="Q55" s="56" t="str">
        <x:f>IF(P55="","미검증",IF(TODAY()-P55&lt;=90,"최신",IF(TODAY()-P55&lt;=180,"갱신 예정","갱신 필요")))</x:f>
        <x:v>미검증</x:v>
      </x:c>
      <x:c r="R55" s="58" t="str">
        <x:v>일부 지역 여권 사용 제한 확인</x:v>
      </x:c>
    </x:row>
    <x:row r="56">
      <x:c r="A56" s="56" t="str">
        <x:v>아시아/태평양</x:v>
      </x:c>
      <x:c r="B56" s="56" t="str">
        <x:v>바누아투</x:v>
      </x:c>
      <x:c r="C56" s="56" t="str">
        <x:v>도착비자(30일)</x:v>
      </x:c>
      <x:c r="D56" s="58" t="str"/>
      <x:c r="E56" s="56" t="str">
        <x:v>도착 후 비자/허가</x:v>
      </x:c>
      <x:c r="F56" s="59" t="str">
        <x:v>도착비자</x:v>
      </x:c>
      <x:c r="G56" s="56" t="str">
        <x:v>아니오</x:v>
      </x:c>
      <x:c r="H56" s="58" t="str">
        <x:v>도착비자(30일)</x:v>
      </x:c>
      <x:c r="I56" s="58" t="str">
        <x:v>일반 확인</x:v>
      </x:c>
      <x:c r="J56" s="58" t="str">
        <x:v>준비물·현장 절차 안내</x:v>
      </x:c>
      <x:c r="K56" s="60" t="str">
        <x:v>외교부 기준·갱신 확인 필요</x:v>
      </x:c>
      <x:c r="L56" s="56" t="str">
        <x:f>IF(K56="공식 확인 완료","게시 가능","게시 금지")</x:f>
        <x:v>게시 금지</x:v>
      </x:c>
      <x:c r="M56" s="56" t="str">
        <x:v>P1</x:v>
      </x:c>
      <x:c r="N56" s="61" t="str"/>
      <x:c r="O56" s="61" t="str">
        <x:v>https://www.passportindex.org/passport/south-korea/</x:v>
      </x:c>
      <x:c r="P56" s="62"/>
      <x:c r="Q56" s="56" t="str">
        <x:f>IF(P56="","미검증",IF(TODAY()-P56&lt;=90,"최신",IF(TODAY()-P56&lt;=180,"갱신 예정","갱신 필요")))</x:f>
        <x:v>미검증</x:v>
      </x:c>
      <x:c r="R56" s="58" t="str"/>
    </x:row>
    <x:row r="57">
      <x:c r="A57" s="56" t="str">
        <x:v>아시아/태평양</x:v>
      </x:c>
      <x:c r="B57" s="56" t="str">
        <x:v>방글라데시</x:v>
      </x:c>
      <x:c r="C57" s="56" t="str">
        <x:v>X</x:v>
      </x:c>
      <x:c r="D57" s="58" t="str">
        <x:v>외교관여권 소지자 : 협정 관용여권 소지자 : 협정</x:v>
      </x:c>
      <x:c r="E57" s="56" t="str">
        <x:v>도착 후 비자/허가</x:v>
      </x:c>
      <x:c r="F57" s="59" t="str">
        <x:v>도착비자</x:v>
      </x:c>
      <x:c r="G57" s="56" t="str">
        <x:v>아니오</x:v>
      </x:c>
      <x:c r="H57" s="58" t="str">
        <x:v>최대 30일</x:v>
      </x:c>
      <x:c r="I57" s="58" t="str">
        <x:v>일반 확인</x:v>
      </x:c>
      <x:c r="J57" s="58" t="str">
        <x:v>준비물·현장 절차 안내</x:v>
      </x:c>
      <x:c r="K57" s="60" t="str">
        <x:v>보조자료 분류·공식 확인 필요</x:v>
      </x:c>
      <x:c r="L57" s="56" t="str">
        <x:f>IF(K57="공식 확인 완료","게시 가능","게시 금지")</x:f>
        <x:v>게시 금지</x:v>
      </x:c>
      <x:c r="M57" s="56" t="str">
        <x:v>P1</x:v>
      </x:c>
      <x:c r="N57" s="61" t="str"/>
      <x:c r="O57" s="61" t="str">
        <x:v>https://www.passportindex.org/passport/south-korea/</x:v>
      </x:c>
      <x:c r="P57" s="62"/>
      <x:c r="Q57" s="56" t="str">
        <x:f>IF(P57="","미검증",IF(TODAY()-P57&lt;=90,"최신",IF(TODAY()-P57&lt;=180,"갱신 예정","갱신 필요")))</x:f>
        <x:v>미검증</x:v>
      </x:c>
      <x:c r="R57" s="58" t="str">
        <x:v>도착비자 거절 가능성 및 현금 수수료 확인</x:v>
      </x:c>
    </x:row>
    <x:row r="58">
      <x:c r="A58" s="56" t="str">
        <x:v>아시아/태평양</x:v>
      </x:c>
      <x:c r="B58" s="56" t="str">
        <x:v>베트남</x:v>
      </x:c>
      <x:c r="C58" s="56" t="str">
        <x:v>45일</x:v>
      </x:c>
      <x:c r="D58" s="58" t="str">
        <x:v>외교관여권 소지자 : 협정 관용여권 소지자 : 협정 일반여권 소지자 : 일방</x:v>
      </x:c>
      <x:c r="E58" s="56" t="str">
        <x:v>비자 불필요</x:v>
      </x:c>
      <x:c r="F58" s="59" t="str">
        <x:v>무사증</x:v>
      </x:c>
      <x:c r="G58" s="56" t="str">
        <x:v>아니오</x:v>
      </x:c>
      <x:c r="H58" s="58" t="str">
        <x:v>45일</x:v>
      </x:c>
      <x:c r="I58" s="58" t="str">
        <x:v>일반 확인</x:v>
      </x:c>
      <x:c r="J58" s="58" t="str">
        <x:v>입국 조건 안내</x:v>
      </x:c>
      <x:c r="K58" s="60" t="str">
        <x:v>외교부 기준·갱신 확인 필요</x:v>
      </x:c>
      <x:c r="L58" s="56" t="str">
        <x:f>IF(K58="공식 확인 완료","게시 가능","게시 금지")</x:f>
        <x:v>게시 금지</x:v>
      </x:c>
      <x:c r="M58" s="56" t="str">
        <x:v>P2</x:v>
      </x:c>
      <x:c r="N58" s="61" t="str"/>
      <x:c r="O58" s="61" t="str">
        <x:v>https://www.passportindex.org/passport/south-korea/</x:v>
      </x:c>
      <x:c r="P58" s="62"/>
      <x:c r="Q58" s="56" t="str">
        <x:f>IF(P58="","미검증",IF(TODAY()-P58&lt;=90,"최신",IF(TODAY()-P58&lt;=180,"갱신 예정","갱신 필요")))</x:f>
        <x:v>미검증</x:v>
      </x:c>
      <x:c r="R58" s="58" t="str"/>
    </x:row>
    <x:row r="59">
      <x:c r="A59" s="56" t="str">
        <x:v>아시아/태평양</x:v>
      </x:c>
      <x:c r="B59" s="56" t="str">
        <x:v>부탄</x:v>
      </x:c>
      <x:c r="C59" s="56" t="str">
        <x:v>X</x:v>
      </x:c>
      <x:c r="D59" s="58" t="str"/>
      <x:c r="E59" s="56" t="str">
        <x:v>사전 비자 필요</x:v>
      </x:c>
      <x:c r="F59" s="59" t="str">
        <x:v>전자비자(eVisa)</x:v>
      </x:c>
      <x:c r="G59" s="56" t="str">
        <x:v>예</x:v>
      </x:c>
      <x:c r="H59" s="58" t="str"/>
      <x:c r="I59" s="58" t="str">
        <x:v>일반 확인</x:v>
      </x:c>
      <x:c r="J59" s="58" t="str">
        <x:v>신청서 작성 보조</x:v>
      </x:c>
      <x:c r="K59" s="60" t="str">
        <x:v>보조자료 분류·공식 확인 필요</x:v>
      </x:c>
      <x:c r="L59" s="56" t="str">
        <x:f>IF(K59="공식 확인 완료","게시 가능","게시 금지")</x:f>
        <x:v>게시 금지</x:v>
      </x:c>
      <x:c r="M59" s="56" t="str">
        <x:v>P0</x:v>
      </x:c>
      <x:c r="N59" s="61" t="str"/>
      <x:c r="O59" s="61" t="str">
        <x:v>https://www.passportindex.org/passport/south-korea/</x:v>
      </x:c>
      <x:c r="P59" s="62"/>
      <x:c r="Q59" s="56" t="str">
        <x:f>IF(P59="","미검증",IF(TODAY()-P59&lt;=90,"최신",IF(TODAY()-P59&lt;=180,"갱신 예정","갱신 필요")))</x:f>
        <x:v>미검증</x:v>
      </x:c>
      <x:c r="R59" s="58" t="str">
        <x:v>관광세·여행 운영 조건 별도 확인</x:v>
      </x:c>
    </x:row>
    <x:row r="60">
      <x:c r="A60" s="56" t="str">
        <x:v>아시아/태평양</x:v>
      </x:c>
      <x:c r="B60" s="56" t="str">
        <x:v>북한</x:v>
      </x:c>
      <x:c r="C60" s="56" t="str">
        <x:v>특별 방문 절차</x:v>
      </x:c>
      <x:c r="D60" s="58" t="str">
        <x:v>남북교류 관련 별도 승인 대상 · 일반적인 해외 관광 비자와 다른 절차이므로 별도 서비스 범위로 분리</x:v>
      </x:c>
      <x:c r="E60" s="56" t="str">
        <x:v>특별허가 필요</x:v>
      </x:c>
      <x:c r="F60" s="59" t="str">
        <x:v>특별허가/여행제한</x:v>
      </x:c>
      <x:c r="G60" s="56" t="str">
        <x:v>예</x:v>
      </x:c>
      <x:c r="H60" s="58" t="str">
        <x:v>특별 방문 절차</x:v>
      </x:c>
      <x:c r="I60" s="58" t="str">
        <x:v>일반 확인</x:v>
      </x:c>
      <x:c r="J60" s="58" t="str">
        <x:v>서비스 제외·공식 안내</x:v>
      </x:c>
      <x:c r="K60" s="60" t="str">
        <x:v>보조자료 분류·공식 확인 필요</x:v>
      </x:c>
      <x:c r="L60" s="56" t="str">
        <x:f>IF(K60="공식 확인 완료","게시 가능","게시 금지")</x:f>
        <x:v>게시 금지</x:v>
      </x:c>
      <x:c r="M60" s="56" t="str">
        <x:v>P0</x:v>
      </x:c>
      <x:c r="N60" s="61" t="str"/>
      <x:c r="O60" s="61" t="str">
        <x:v>https://www.passportindex.org/passport/south-korea/</x:v>
      </x:c>
      <x:c r="P60" s="62"/>
      <x:c r="Q60" s="56" t="str">
        <x:f>IF(P60="","미검증",IF(TODAY()-P60&lt;=90,"최신",IF(TODAY()-P60&lt;=180,"갱신 예정","갱신 필요")))</x:f>
        <x:v>미검증</x:v>
      </x:c>
      <x:c r="R60" s="58" t="str">
        <x:v>남북교류 관련 별도 승인 대상 · 일반적인 해외 관광 비자와 다른 절차이므로 별도 서비스 범위로 분리</x:v>
      </x:c>
    </x:row>
    <x:row r="61">
      <x:c r="A61" s="56" t="str">
        <x:v>아시아/태평양</x:v>
      </x:c>
      <x:c r="B61" s="56" t="str">
        <x:v>브루나이</x:v>
      </x:c>
      <x:c r="C61" s="56" t="str">
        <x:v>복수여권: O(30일) 단수여권: X</x:v>
      </x:c>
      <x:c r="D61" s="58" t="str">
        <x:v>외교관여권 소지자 : 상호주의 관용여권 소지자 : 상호주의 일반여권 소지자 : 상호주의</x:v>
      </x:c>
      <x:c r="E61" s="56" t="str">
        <x:v>비자 불필요</x:v>
      </x:c>
      <x:c r="F61" s="59" t="str">
        <x:v>무사증</x:v>
      </x:c>
      <x:c r="G61" s="56" t="str">
        <x:v>아니오</x:v>
      </x:c>
      <x:c r="H61" s="58" t="str">
        <x:v>복수여권: O(30일) 단수여권: X</x:v>
      </x:c>
      <x:c r="I61" s="58" t="str">
        <x:v>일반 확인</x:v>
      </x:c>
      <x:c r="J61" s="58" t="str">
        <x:v>입국 조건 안내</x:v>
      </x:c>
      <x:c r="K61" s="60" t="str">
        <x:v>외교부 기준·갱신 확인 필요</x:v>
      </x:c>
      <x:c r="L61" s="56" t="str">
        <x:f>IF(K61="공식 확인 완료","게시 가능","게시 금지")</x:f>
        <x:v>게시 금지</x:v>
      </x:c>
      <x:c r="M61" s="56" t="str">
        <x:v>P2</x:v>
      </x:c>
      <x:c r="N61" s="61" t="str"/>
      <x:c r="O61" s="61" t="str">
        <x:v>https://www.passportindex.org/passport/south-korea/</x:v>
      </x:c>
      <x:c r="P61" s="62"/>
      <x:c r="Q61" s="56" t="str">
        <x:f>IF(P61="","미검증",IF(TODAY()-P61&lt;=90,"최신",IF(TODAY()-P61&lt;=180,"갱신 예정","갱신 필요")))</x:f>
        <x:v>미검증</x:v>
      </x:c>
      <x:c r="R61" s="58" t="str"/>
    </x:row>
    <x:row r="62">
      <x:c r="A62" s="56" t="str">
        <x:v>아시아/태평양</x:v>
      </x:c>
      <x:c r="B62" s="56" t="str">
        <x:v>사모아</x:v>
      </x:c>
      <x:c r="C62" s="56" t="str">
        <x:v>90일</x:v>
      </x:c>
      <x:c r="D62" s="58" t="str">
        <x:v>외교관여권 소지자 : 상호 관용여권 소지자 : 상호 일반여권 소지자 : 상호</x:v>
      </x:c>
      <x:c r="E62" s="56" t="str">
        <x:v>비자 불필요</x:v>
      </x:c>
      <x:c r="F62" s="59" t="str">
        <x:v>무사증</x:v>
      </x:c>
      <x:c r="G62" s="56" t="str">
        <x:v>아니오</x:v>
      </x:c>
      <x:c r="H62" s="58" t="str">
        <x:v>90일</x:v>
      </x:c>
      <x:c r="I62" s="58" t="str">
        <x:v>일반 확인</x:v>
      </x:c>
      <x:c r="J62" s="58" t="str">
        <x:v>입국 조건 안내</x:v>
      </x:c>
      <x:c r="K62" s="60" t="str">
        <x:v>외교부 기준·갱신 확인 필요</x:v>
      </x:c>
      <x:c r="L62" s="56" t="str">
        <x:f>IF(K62="공식 확인 완료","게시 가능","게시 금지")</x:f>
        <x:v>게시 금지</x:v>
      </x:c>
      <x:c r="M62" s="56" t="str">
        <x:v>P2</x:v>
      </x:c>
      <x:c r="N62" s="61" t="str"/>
      <x:c r="O62" s="61" t="str">
        <x:v>https://www.passportindex.org/passport/south-korea/</x:v>
      </x:c>
      <x:c r="P62" s="62"/>
      <x:c r="Q62" s="56" t="str">
        <x:f>IF(P62="","미검증",IF(TODAY()-P62&lt;=90,"최신",IF(TODAY()-P62&lt;=180,"갱신 예정","갱신 필요")))</x:f>
        <x:v>미검증</x:v>
      </x:c>
      <x:c r="R62" s="58" t="str"/>
    </x:row>
    <x:row r="63">
      <x:c r="A63" s="56" t="str">
        <x:v>아시아/태평양</x:v>
      </x:c>
      <x:c r="B63" s="56" t="str">
        <x:v>솔로몬제도</x:v>
      </x:c>
      <x:c r="C63" s="56" t="str">
        <x:v>도착비자(30일)</x:v>
      </x:c>
      <x:c r="D63" s="58" t="str"/>
      <x:c r="E63" s="56" t="str">
        <x:v>도착 후 비자/허가</x:v>
      </x:c>
      <x:c r="F63" s="59" t="str">
        <x:v>도착비자</x:v>
      </x:c>
      <x:c r="G63" s="56" t="str">
        <x:v>아니오</x:v>
      </x:c>
      <x:c r="H63" s="58" t="str">
        <x:v>도착비자(30일)</x:v>
      </x:c>
      <x:c r="I63" s="58" t="str">
        <x:v>일반 확인</x:v>
      </x:c>
      <x:c r="J63" s="58" t="str">
        <x:v>준비물·현장 절차 안내</x:v>
      </x:c>
      <x:c r="K63" s="60" t="str">
        <x:v>외교부 기준·갱신 확인 필요</x:v>
      </x:c>
      <x:c r="L63" s="56" t="str">
        <x:f>IF(K63="공식 확인 완료","게시 가능","게시 금지")</x:f>
        <x:v>게시 금지</x:v>
      </x:c>
      <x:c r="M63" s="56" t="str">
        <x:v>P1</x:v>
      </x:c>
      <x:c r="N63" s="61" t="str"/>
      <x:c r="O63" s="61" t="str">
        <x:v>https://www.passportindex.org/passport/south-korea/</x:v>
      </x:c>
      <x:c r="P63" s="62"/>
      <x:c r="Q63" s="56" t="str">
        <x:f>IF(P63="","미검증",IF(TODAY()-P63&lt;=90,"최신",IF(TODAY()-P63&lt;=180,"갱신 예정","갱신 필요")))</x:f>
        <x:v>미검증</x:v>
      </x:c>
      <x:c r="R63" s="58" t="str"/>
    </x:row>
    <x:row r="64">
      <x:c r="A64" s="56" t="str">
        <x:v>아시아/태평양</x:v>
      </x:c>
      <x:c r="B64" s="56" t="str">
        <x:v>스리랑카</x:v>
      </x:c>
      <x:c r="C64" s="56" t="str">
        <x:v>X</x:v>
      </x:c>
      <x:c r="D64" s="58" t="str"/>
      <x:c r="E64" s="56" t="str">
        <x:v>비자는 아니나 사전허가 필요</x:v>
      </x:c>
      <x:c r="F64" s="59" t="str">
        <x:v>전자여행허가(ETA)</x:v>
      </x:c>
      <x:c r="G64" s="56" t="str">
        <x:v>예</x:v>
      </x:c>
      <x:c r="H64" s="58" t="str">
        <x:v>최대 30일</x:v>
      </x:c>
      <x:c r="I64" s="58" t="str">
        <x:v>일반 확인</x:v>
      </x:c>
      <x:c r="J64" s="58" t="str">
        <x:v>신청서 작성 보조</x:v>
      </x:c>
      <x:c r="K64" s="60" t="str">
        <x:v>보조자료 분류·공식 확인 필요</x:v>
      </x:c>
      <x:c r="L64" s="56" t="str">
        <x:f>IF(K64="공식 확인 완료","게시 가능","게시 금지")</x:f>
        <x:v>게시 금지</x:v>
      </x:c>
      <x:c r="M64" s="56" t="str">
        <x:v>P0</x:v>
      </x:c>
      <x:c r="N64" s="61" t="str"/>
      <x:c r="O64" s="61" t="str">
        <x:v>https://www.passportindex.org/passport/south-korea/</x:v>
      </x:c>
      <x:c r="P64" s="62"/>
      <x:c r="Q64" s="56" t="str">
        <x:f>IF(P64="","미검증",IF(TODAY()-P64&lt;=90,"최신",IF(TODAY()-P64&lt;=180,"갱신 예정","갱신 필요")))</x:f>
        <x:v>미검증</x:v>
      </x:c>
      <x:c r="R64" s="58" t="str"/>
    </x:row>
    <x:row r="65">
      <x:c r="A65" s="56" t="str">
        <x:v>아시아/태평양</x:v>
      </x:c>
      <x:c r="B65" s="56" t="str">
        <x:v>싱가포르</x:v>
      </x:c>
      <x:c r="C65" s="56" t="str">
        <x:v>90일</x:v>
      </x:c>
      <x:c r="D65" s="58" t="str">
        <x:v>외교관여권 소지자 : 협정 관용여권 소지자 : 협정 일반여권 소지자 : 협정</x:v>
      </x:c>
      <x:c r="E65" s="56" t="str">
        <x:v>비자 불필요·등록 필요</x:v>
      </x:c>
      <x:c r="F65" s="59" t="str">
        <x:v>무사증+입국등록</x:v>
      </x:c>
      <x:c r="G65" s="56" t="str">
        <x:v>예</x:v>
      </x:c>
      <x:c r="H65" s="58" t="str">
        <x:v>최대 90일</x:v>
      </x:c>
      <x:c r="I65" s="58" t="str">
        <x:v>일반 확인</x:v>
      </x:c>
      <x:c r="J65" s="58" t="str">
        <x:v>신청서 작성 보조</x:v>
      </x:c>
      <x:c r="K65" s="60" t="str">
        <x:v>보조자료 분류·공식 확인 필요</x:v>
      </x:c>
      <x:c r="L65" s="56" t="str">
        <x:f>IF(K65="공식 확인 완료","게시 가능","게시 금지")</x:f>
        <x:v>게시 금지</x:v>
      </x:c>
      <x:c r="M65" s="56" t="str">
        <x:v>P1</x:v>
      </x:c>
      <x:c r="N65" s="61" t="str"/>
      <x:c r="O65" s="61" t="str">
        <x:v>https://www.passportindex.org/passport/south-korea/</x:v>
      </x:c>
      <x:c r="P65" s="62"/>
      <x:c r="Q65" s="56" t="str">
        <x:f>IF(P65="","미검증",IF(TODAY()-P65&lt;=90,"최신",IF(TODAY()-P65&lt;=180,"갱신 예정","갱신 필요")))</x:f>
        <x:v>미검증</x:v>
      </x:c>
      <x:c r="R65" s="58" t="str">
        <x:v>도착 전 입국카드 등록</x:v>
      </x:c>
    </x:row>
    <x:row r="66">
      <x:c r="A66" s="56" t="str">
        <x:v>아시아/태평양</x:v>
      </x:c>
      <x:c r="B66" s="56" t="str">
        <x:v>아프가니스탄</x:v>
      </x:c>
      <x:c r="C66" s="56" t="str">
        <x:v>X</x:v>
      </x:c>
      <x:c r="D66" s="58" t="str"/>
      <x:c r="E66" s="56" t="str">
        <x:v>사전 비자 필요</x:v>
      </x:c>
      <x:c r="F66" s="59" t="str">
        <x:v>전자비자(eVisa)</x:v>
      </x:c>
      <x:c r="G66" s="56" t="str">
        <x:v>예</x:v>
      </x:c>
      <x:c r="H66" s="58" t="str"/>
      <x:c r="I66" s="58" t="str">
        <x:v>여권 사용 제한 대상</x:v>
      </x:c>
      <x:c r="J66" s="58" t="str">
        <x:v>신청서 작성 보조</x:v>
      </x:c>
      <x:c r="K66" s="60" t="str">
        <x:v>보조자료 분류·공식 확인 필요</x:v>
      </x:c>
      <x:c r="L66" s="56" t="str">
        <x:f>IF(K66="공식 확인 완료","게시 가능","게시 금지")</x:f>
        <x:v>게시 금지</x:v>
      </x:c>
      <x:c r="M66" s="56" t="str">
        <x:v>P0</x:v>
      </x:c>
      <x:c r="N66" s="61" t="str"/>
      <x:c r="O66" s="61" t="str">
        <x:v>https://www.passportindex.org/passport/south-korea/</x:v>
      </x:c>
      <x:c r="P66" s="62"/>
      <x:c r="Q66" s="56" t="str">
        <x:f>IF(P66="","미검증",IF(TODAY()-P66&lt;=90,"최신",IF(TODAY()-P66&lt;=180,"갱신 예정","갱신 필요")))</x:f>
        <x:v>미검증</x:v>
      </x:c>
      <x:c r="R66" s="58" t="str">
        <x:v>대한민국 여권 사용 제한 여부 우선 확인</x:v>
      </x:c>
    </x:row>
    <x:row r="67">
      <x:c r="A67" s="56" t="str">
        <x:v>아시아/태평양</x:v>
      </x:c>
      <x:c r="B67" s="56" t="str">
        <x:v>인도</x:v>
      </x:c>
      <x:c r="C67" s="56" t="str">
        <x:v>X</x:v>
      </x:c>
      <x:c r="D67" s="58" t="str">
        <x:v>외교관여권 소지자 : 협정 관용여권 소지자 : 협정</x:v>
      </x:c>
      <x:c r="E67" s="56" t="str">
        <x:v>전자 또는 도착비자 필요</x:v>
      </x:c>
      <x:c r="F67" s="59" t="str">
        <x:v>전자비자/도착비자</x:v>
      </x:c>
      <x:c r="G67" s="56" t="str">
        <x:v>선택 가능</x:v>
      </x:c>
      <x:c r="H67" s="58" t="str">
        <x:v>최대 30일</x:v>
      </x:c>
      <x:c r="I67" s="58" t="str">
        <x:v>일반 확인</x:v>
      </x:c>
      <x:c r="J67" s="58" t="str">
        <x:v>준비물·현장 절차 안내</x:v>
      </x:c>
      <x:c r="K67" s="60" t="str">
        <x:v>보조자료 분류·공식 확인 필요</x:v>
      </x:c>
      <x:c r="L67" s="56" t="str">
        <x:f>IF(K67="공식 확인 완료","게시 가능","게시 금지")</x:f>
        <x:v>게시 금지</x:v>
      </x:c>
      <x:c r="M67" s="56" t="str">
        <x:v>P1</x:v>
      </x:c>
      <x:c r="N67" s="61" t="str"/>
      <x:c r="O67" s="61" t="str">
        <x:v>https://www.passportindex.org/passport/south-korea/</x:v>
      </x:c>
      <x:c r="P67" s="62"/>
      <x:c r="Q67" s="56" t="str">
        <x:f>IF(P67="","미검증",IF(TODAY()-P67&lt;=90,"최신",IF(TODAY()-P67&lt;=180,"갱신 예정","갱신 필요")))</x:f>
        <x:v>미검증</x:v>
      </x:c>
      <x:c r="R67" s="58" t="str">
        <x:v>도착비자 대상 조건 공식 확인 필요</x:v>
      </x:c>
    </x:row>
    <x:row r="68">
      <x:c r="A68" s="56" t="str">
        <x:v>아시아/태평양</x:v>
      </x:c>
      <x:c r="B68" s="56" t="str">
        <x:v>인도네시아</x:v>
      </x:c>
      <x:c r="C68" s="56" t="str">
        <x:v>X</x:v>
      </x:c>
      <x:c r="D68" s="58" t="str"/>
      <x:c r="E68" s="56" t="str">
        <x:v>전자 또는 도착비자 필요</x:v>
      </x:c>
      <x:c r="F68" s="59" t="str">
        <x:v>전자비자/도착비자</x:v>
      </x:c>
      <x:c r="G68" s="56" t="str">
        <x:v>선택 가능</x:v>
      </x:c>
      <x:c r="H68" s="58" t="str">
        <x:v>최대 30일</x:v>
      </x:c>
      <x:c r="I68" s="58" t="str">
        <x:v>일반 확인</x:v>
      </x:c>
      <x:c r="J68" s="58" t="str">
        <x:v>준비물·현장 절차 안내</x:v>
      </x:c>
      <x:c r="K68" s="60" t="str">
        <x:v>보조자료 분류·공식 확인 필요</x:v>
      </x:c>
      <x:c r="L68" s="56" t="str">
        <x:f>IF(K68="공식 확인 완료","게시 가능","게시 금지")</x:f>
        <x:v>게시 금지</x:v>
      </x:c>
      <x:c r="M68" s="56" t="str">
        <x:v>P1</x:v>
      </x:c>
      <x:c r="N68" s="61" t="str"/>
      <x:c r="O68" s="61" t="str">
        <x:v>https://www.passportindex.org/passport/south-korea/</x:v>
      </x:c>
      <x:c r="P68" s="62"/>
      <x:c r="Q68" s="56" t="str">
        <x:f>IF(P68="","미검증",IF(TODAY()-P68&lt;=90,"최신",IF(TODAY()-P68&lt;=180,"갱신 예정","갱신 필요")))</x:f>
        <x:v>미검증</x:v>
      </x:c>
      <x:c r="R68" s="58" t="str"/>
    </x:row>
    <x:row r="69">
      <x:c r="A69" s="56" t="str">
        <x:v>아시아/태평양</x:v>
      </x:c>
      <x:c r="B69" s="56" t="str">
        <x:v>일본</x:v>
      </x:c>
      <x:c r="C69" s="56" t="str">
        <x:v>90일</x:v>
      </x:c>
      <x:c r="D69" s="58" t="str">
        <x:v>외교관여권 소지자 : 협정 관용여권 소지자 : 협정 일반여권 소지자 : 상호주의</x:v>
      </x:c>
      <x:c r="E69" s="56" t="str">
        <x:v>비자 불필요</x:v>
      </x:c>
      <x:c r="F69" s="59" t="str">
        <x:v>무사증</x:v>
      </x:c>
      <x:c r="G69" s="56" t="str">
        <x:v>아니오</x:v>
      </x:c>
      <x:c r="H69" s="58" t="str">
        <x:v>90일</x:v>
      </x:c>
      <x:c r="I69" s="58" t="str">
        <x:v>일반 확인</x:v>
      </x:c>
      <x:c r="J69" s="58" t="str">
        <x:v>입국 조건 안내</x:v>
      </x:c>
      <x:c r="K69" s="60" t="str">
        <x:v>외교부 기준·갱신 확인 필요</x:v>
      </x:c>
      <x:c r="L69" s="56" t="str">
        <x:f>IF(K69="공식 확인 완료","게시 가능","게시 금지")</x:f>
        <x:v>게시 금지</x:v>
      </x:c>
      <x:c r="M69" s="56" t="str">
        <x:v>P2</x:v>
      </x:c>
      <x:c r="N69" s="61" t="str"/>
      <x:c r="O69" s="61" t="str">
        <x:v>https://www.passportindex.org/passport/south-korea/</x:v>
      </x:c>
      <x:c r="P69" s="62"/>
      <x:c r="Q69" s="56" t="str">
        <x:f>IF(P69="","미검증",IF(TODAY()-P69&lt;=90,"최신",IF(TODAY()-P69&lt;=180,"갱신 예정","갱신 필요")))</x:f>
        <x:v>미검증</x:v>
      </x:c>
      <x:c r="R69" s="58" t="str"/>
    </x:row>
    <x:row r="70">
      <x:c r="A70" s="56" t="str">
        <x:v>아시아/태평양</x:v>
      </x:c>
      <x:c r="B70" s="56" t="str">
        <x:v>중국</x:v>
      </x:c>
      <x:c r="C70" s="56" t="str">
        <x:v>30일</x:v>
      </x:c>
      <x:c r="D70" s="58" t="str">
        <x:v>외교관여권 소지자 : 협정 관용여권 소지자 : 협정 일반여권 소지자 : 일방 (2024.11.30.~2026.12.31.) · 일반여권 소지자 : &amp;middot; 체류기간 최장30일, 체류지역 하이난 성內, 현지 전담 여행사 통하여 입국 최소 48시간전 신청필요</x:v>
      </x:c>
      <x:c r="E70" s="56" t="str">
        <x:v>비자 불필요</x:v>
      </x:c>
      <x:c r="F70" s="59" t="str">
        <x:v>무사증</x:v>
      </x:c>
      <x:c r="G70" s="56" t="str">
        <x:v>아니오</x:v>
      </x:c>
      <x:c r="H70" s="58" t="str">
        <x:v>30일</x:v>
      </x:c>
      <x:c r="I70" s="58" t="str">
        <x:v>일반 확인</x:v>
      </x:c>
      <x:c r="J70" s="58" t="str">
        <x:v>입국 조건 안내</x:v>
      </x:c>
      <x:c r="K70" s="60" t="str">
        <x:v>공식 확인 완료</x:v>
      </x:c>
      <x:c r="L70" s="56" t="str">
        <x:f>IF(K70="공식 확인 완료","게시 가능","게시 금지")</x:f>
        <x:v>게시 가능</x:v>
      </x:c>
      <x:c r="M70" s="56" t="str">
        <x:v>P2</x:v>
      </x:c>
      <x:c r="N70" s="61" t="str">
        <x:v>https://www.mofa.go.kr/cn-ko/brd/m_1237/view.do?seq=1348046</x:v>
      </x:c>
      <x:c r="O70" s="61" t="str"/>
      <x:c r="P70" s="62" t="n">
        <x:v>46258</x:v>
      </x:c>
      <x:c r="Q70" s="56" t="str">
        <x:f>IF(P70="","미검증",IF(TODAY()-P70&lt;=90,"최신",IF(TODAY()-P70&lt;=180,"갱신 예정","갱신 필요")))</x:f>
        <x:v>최신</x:v>
      </x:c>
      <x:c r="R70" s="58" t="str">
        <x:v>일반여권 소지자 : &amp;middot; 체류기간 최장30일, 체류지역 하이난 성內, 현지 전담 여행사 통하여 입국 최소 48시간전 신청필요</x:v>
      </x:c>
    </x:row>
    <x:row r="71">
      <x:c r="A71" s="56" t="str">
        <x:v>아시아/태평양</x:v>
      </x:c>
      <x:c r="B71" s="56" t="str">
        <x:v>카자흐스탄</x:v>
      </x:c>
      <x:c r="C71" s="56" t="str">
        <x:v>30일</x:v>
      </x:c>
      <x:c r="D71" s="58" t="str">
        <x:v>외교관여권 소지자 : 협정 관용여권 소지자 : 협정 일반여권 소지자 : 협정 · 일반여권 소지자 : * 최초 입국일 기준 180일 중 60일 초과 불가 2026.1월부터 카자흐스탄 전자여행허가제(QazETA) 시범운영 개시</x:v>
      </x:c>
      <x:c r="E71" s="56" t="str">
        <x:v>비자 불필요</x:v>
      </x:c>
      <x:c r="F71" s="59" t="str">
        <x:v>무사증</x:v>
      </x:c>
      <x:c r="G71" s="56" t="str">
        <x:v>아니오</x:v>
      </x:c>
      <x:c r="H71" s="58" t="str">
        <x:v>30일</x:v>
      </x:c>
      <x:c r="I71" s="58" t="str">
        <x:v>일반 확인</x:v>
      </x:c>
      <x:c r="J71" s="58" t="str">
        <x:v>입국 조건 안내</x:v>
      </x:c>
      <x:c r="K71" s="60" t="str">
        <x:v>외교부 기준·갱신 확인 필요</x:v>
      </x:c>
      <x:c r="L71" s="56" t="str">
        <x:f>IF(K71="공식 확인 완료","게시 가능","게시 금지")</x:f>
        <x:v>게시 금지</x:v>
      </x:c>
      <x:c r="M71" s="56" t="str">
        <x:v>P2</x:v>
      </x:c>
      <x:c r="N71" s="61" t="str"/>
      <x:c r="O71" s="61" t="str">
        <x:v>https://www.passportindex.org/passport/south-korea/</x:v>
      </x:c>
      <x:c r="P71" s="62"/>
      <x:c r="Q71" s="56" t="str">
        <x:f>IF(P71="","미검증",IF(TODAY()-P71&lt;=90,"최신",IF(TODAY()-P71&lt;=180,"갱신 예정","갱신 필요")))</x:f>
        <x:v>미검증</x:v>
      </x:c>
      <x:c r="R71" s="58" t="str">
        <x:v>일반여권 소지자 : * 최초 입국일 기준 180일 중 60일 초과 불가 2026.1월부터 카자흐스탄 전자여행허가제(QazETA) 시범운영 개시</x:v>
      </x:c>
    </x:row>
    <x:row r="72">
      <x:c r="A72" s="56" t="str">
        <x:v>아시아/태평양</x:v>
      </x:c>
      <x:c r="B72" s="56" t="str">
        <x:v>캄보디아</x:v>
      </x:c>
      <x:c r="C72" s="56" t="str">
        <x:v>X</x:v>
      </x:c>
      <x:c r="D72" s="58" t="str">
        <x:v>외교관여권 소지자 : 협정 관용여권 소지자 : 협정</x:v>
      </x:c>
      <x:c r="E72" s="56" t="str">
        <x:v>전자 또는 도착비자 필요</x:v>
      </x:c>
      <x:c r="F72" s="59" t="str">
        <x:v>전자비자/도착비자</x:v>
      </x:c>
      <x:c r="G72" s="56" t="str">
        <x:v>선택 가능</x:v>
      </x:c>
      <x:c r="H72" s="58" t="str">
        <x:v>최대 30일</x:v>
      </x:c>
      <x:c r="I72" s="58" t="str">
        <x:v>일부 지역 제한</x:v>
      </x:c>
      <x:c r="J72" s="58" t="str">
        <x:v>준비물·현장 절차 안내</x:v>
      </x:c>
      <x:c r="K72" s="60" t="str">
        <x:v>보조자료 분류·공식 확인 필요</x:v>
      </x:c>
      <x:c r="L72" s="56" t="str">
        <x:f>IF(K72="공식 확인 완료","게시 가능","게시 금지")</x:f>
        <x:v>게시 금지</x:v>
      </x:c>
      <x:c r="M72" s="56" t="str">
        <x:v>P1</x:v>
      </x:c>
      <x:c r="N72" s="61" t="str"/>
      <x:c r="O72" s="61" t="str">
        <x:v>https://www.passportindex.org/passport/south-korea/</x:v>
      </x:c>
      <x:c r="P72" s="62"/>
      <x:c r="Q72" s="56" t="str">
        <x:f>IF(P72="","미검증",IF(TODAY()-P72&lt;=90,"최신",IF(TODAY()-P72&lt;=180,"갱신 예정","갱신 필요")))</x:f>
        <x:v>미검증</x:v>
      </x:c>
      <x:c r="R72" s="58" t="str">
        <x:v>일부 지역 여권 사용 제한 확인</x:v>
      </x:c>
    </x:row>
    <x:row r="73">
      <x:c r="A73" s="56" t="str">
        <x:v>아시아/태평양</x:v>
      </x:c>
      <x:c r="B73" s="56" t="str">
        <x:v>쿡제도</x:v>
      </x:c>
      <x:c r="C73" s="56" t="str">
        <x:v>31일</x:v>
      </x:c>
      <x:c r="D73" s="58" t="str">
        <x:v>외교관여권 소지자 : 일방 관용여권 소지자 : 일방 일반여권 소지자 : 일방</x:v>
      </x:c>
      <x:c r="E73" s="56" t="str">
        <x:v>비자 불필요</x:v>
      </x:c>
      <x:c r="F73" s="59" t="str">
        <x:v>무사증</x:v>
      </x:c>
      <x:c r="G73" s="56" t="str">
        <x:v>아니오</x:v>
      </x:c>
      <x:c r="H73" s="58" t="str">
        <x:v>31일</x:v>
      </x:c>
      <x:c r="I73" s="58" t="str">
        <x:v>일반 확인</x:v>
      </x:c>
      <x:c r="J73" s="58" t="str">
        <x:v>입국 조건 안내</x:v>
      </x:c>
      <x:c r="K73" s="60" t="str">
        <x:v>외교부 기준·갱신 확인 필요</x:v>
      </x:c>
      <x:c r="L73" s="56" t="str">
        <x:f>IF(K73="공식 확인 완료","게시 가능","게시 금지")</x:f>
        <x:v>게시 금지</x:v>
      </x:c>
      <x:c r="M73" s="56" t="str">
        <x:v>P2</x:v>
      </x:c>
      <x:c r="N73" s="61" t="str"/>
      <x:c r="O73" s="61" t="str">
        <x:v>https://www.passportindex.org/passport/south-korea/</x:v>
      </x:c>
      <x:c r="P73" s="62"/>
      <x:c r="Q73" s="56" t="str">
        <x:f>IF(P73="","미검증",IF(TODAY()-P73&lt;=90,"최신",IF(TODAY()-P73&lt;=180,"갱신 예정","갱신 필요")))</x:f>
        <x:v>미검증</x:v>
      </x:c>
      <x:c r="R73" s="58" t="str"/>
    </x:row>
    <x:row r="74">
      <x:c r="A74" s="56" t="str">
        <x:v>아시아/태평양</x:v>
      </x:c>
      <x:c r="B74" s="56" t="str">
        <x:v>키르기스스탄 (키르기즈공화국)</x:v>
      </x:c>
      <x:c r="C74" s="56" t="str">
        <x:v>30일</x:v>
      </x:c>
      <x:c r="D74" s="58" t="str">
        <x:v>외교관여권 소지자 : 협정 관용여권 소지자 : 협정 일반여권 소지자 : 관광목적, 일방적 면제</x:v>
      </x:c>
      <x:c r="E74" s="56" t="str">
        <x:v>비자 불필요</x:v>
      </x:c>
      <x:c r="F74" s="59" t="str">
        <x:v>무사증</x:v>
      </x:c>
      <x:c r="G74" s="56" t="str">
        <x:v>아니오</x:v>
      </x:c>
      <x:c r="H74" s="58" t="str">
        <x:v>30일</x:v>
      </x:c>
      <x:c r="I74" s="58" t="str">
        <x:v>일반 확인</x:v>
      </x:c>
      <x:c r="J74" s="58" t="str">
        <x:v>입국 조건 안내</x:v>
      </x:c>
      <x:c r="K74" s="60" t="str">
        <x:v>외교부 기준·갱신 확인 필요</x:v>
      </x:c>
      <x:c r="L74" s="56" t="str">
        <x:f>IF(K74="공식 확인 완료","게시 가능","게시 금지")</x:f>
        <x:v>게시 금지</x:v>
      </x:c>
      <x:c r="M74" s="56" t="str">
        <x:v>P2</x:v>
      </x:c>
      <x:c r="N74" s="61" t="str"/>
      <x:c r="O74" s="61" t="str">
        <x:v>https://www.passportindex.org/passport/south-korea/</x:v>
      </x:c>
      <x:c r="P74" s="62"/>
      <x:c r="Q74" s="56" t="str">
        <x:f>IF(P74="","미검증",IF(TODAY()-P74&lt;=90,"최신",IF(TODAY()-P74&lt;=180,"갱신 예정","갱신 필요")))</x:f>
        <x:v>미검증</x:v>
      </x:c>
      <x:c r="R74" s="58" t="str"/>
    </x:row>
    <x:row r="75">
      <x:c r="A75" s="56" t="str">
        <x:v>아시아/태평양</x:v>
      </x:c>
      <x:c r="B75" s="56" t="str">
        <x:v>키리바시</x:v>
      </x:c>
      <x:c r="C75" s="56" t="str">
        <x:v>30일</x:v>
      </x:c>
      <x:c r="D75" s="58" t="str">
        <x:v>외교관여권 소지자 : 상호주의 관용여권 소지자 : 상호주의 일반여권 소지자 : 상호주의</x:v>
      </x:c>
      <x:c r="E75" s="56" t="str">
        <x:v>비자 불필요</x:v>
      </x:c>
      <x:c r="F75" s="59" t="str">
        <x:v>무사증</x:v>
      </x:c>
      <x:c r="G75" s="56" t="str">
        <x:v>아니오</x:v>
      </x:c>
      <x:c r="H75" s="58" t="str">
        <x:v>30일</x:v>
      </x:c>
      <x:c r="I75" s="58" t="str">
        <x:v>일반 확인</x:v>
      </x:c>
      <x:c r="J75" s="58" t="str">
        <x:v>입국 조건 안내</x:v>
      </x:c>
      <x:c r="K75" s="60" t="str">
        <x:v>외교부 기준·갱신 확인 필요</x:v>
      </x:c>
      <x:c r="L75" s="56" t="str">
        <x:f>IF(K75="공식 확인 완료","게시 가능","게시 금지")</x:f>
        <x:v>게시 금지</x:v>
      </x:c>
      <x:c r="M75" s="56" t="str">
        <x:v>P2</x:v>
      </x:c>
      <x:c r="N75" s="61" t="str"/>
      <x:c r="O75" s="61" t="str">
        <x:v>https://www.passportindex.org/passport/south-korea/</x:v>
      </x:c>
      <x:c r="P75" s="62"/>
      <x:c r="Q75" s="56" t="str">
        <x:f>IF(P75="","미검증",IF(TODAY()-P75&lt;=90,"최신",IF(TODAY()-P75&lt;=180,"갱신 예정","갱신 필요")))</x:f>
        <x:v>미검증</x:v>
      </x:c>
      <x:c r="R75" s="58" t="str"/>
    </x:row>
    <x:row r="76">
      <x:c r="A76" s="56" t="str">
        <x:v>아시아/태평양</x:v>
      </x:c>
      <x:c r="B76" s="56" t="str">
        <x:v>타지키스탄</x:v>
      </x:c>
      <x:c r="C76" s="56" t="str">
        <x:v>30일</x:v>
      </x:c>
      <x:c r="D76" s="58" t="str">
        <x:v>외교관여권 소지자 : 협정 관용여권 소지자 : 협정 일반여권 소지자 : 일방</x:v>
      </x:c>
      <x:c r="E76" s="56" t="str">
        <x:v>비자 불필요</x:v>
      </x:c>
      <x:c r="F76" s="59" t="str">
        <x:v>무사증</x:v>
      </x:c>
      <x:c r="G76" s="56" t="str">
        <x:v>아니오</x:v>
      </x:c>
      <x:c r="H76" s="58" t="str">
        <x:v>30일</x:v>
      </x:c>
      <x:c r="I76" s="58" t="str">
        <x:v>일반 확인</x:v>
      </x:c>
      <x:c r="J76" s="58" t="str">
        <x:v>입국 조건 안내</x:v>
      </x:c>
      <x:c r="K76" s="60" t="str">
        <x:v>외교부 기준·갱신 확인 필요</x:v>
      </x:c>
      <x:c r="L76" s="56" t="str">
        <x:f>IF(K76="공식 확인 완료","게시 가능","게시 금지")</x:f>
        <x:v>게시 금지</x:v>
      </x:c>
      <x:c r="M76" s="56" t="str">
        <x:v>P2</x:v>
      </x:c>
      <x:c r="N76" s="61" t="str"/>
      <x:c r="O76" s="61" t="str">
        <x:v>https://www.passportindex.org/passport/south-korea/</x:v>
      </x:c>
      <x:c r="P76" s="62"/>
      <x:c r="Q76" s="56" t="str">
        <x:f>IF(P76="","미검증",IF(TODAY()-P76&lt;=90,"최신",IF(TODAY()-P76&lt;=180,"갱신 예정","갱신 필요")))</x:f>
        <x:v>미검증</x:v>
      </x:c>
      <x:c r="R76" s="58" t="str"/>
    </x:row>
    <x:row r="77">
      <x:c r="A77" s="56" t="str">
        <x:v>아시아/태평양</x:v>
      </x:c>
      <x:c r="B77" s="56" t="str">
        <x:v>태국</x:v>
      </x:c>
      <x:c r="C77" s="56" t="str">
        <x:v>90일</x:v>
      </x:c>
      <x:c r="D77" s="58" t="str">
        <x:v>외교관여권 소지자 : 협정 관용여권 소지자 : 협정 일반여권 소지자 : 협정</x:v>
      </x:c>
      <x:c r="E77" s="56" t="str">
        <x:v>비자 불필요·등록 필요</x:v>
      </x:c>
      <x:c r="F77" s="59" t="str">
        <x:v>무사증+입국등록</x:v>
      </x:c>
      <x:c r="G77" s="56" t="str">
        <x:v>예</x:v>
      </x:c>
      <x:c r="H77" s="58" t="str">
        <x:v>90일</x:v>
      </x:c>
      <x:c r="I77" s="58" t="str">
        <x:v>일반 확인</x:v>
      </x:c>
      <x:c r="J77" s="58" t="str">
        <x:v>신청서 작성 보조</x:v>
      </x:c>
      <x:c r="K77" s="60" t="str">
        <x:v>보조자료 분류·공식 확인 필요</x:v>
      </x:c>
      <x:c r="L77" s="56" t="str">
        <x:f>IF(K77="공식 확인 완료","게시 가능","게시 금지")</x:f>
        <x:v>게시 금지</x:v>
      </x:c>
      <x:c r="M77" s="56" t="str">
        <x:v>P1</x:v>
      </x:c>
      <x:c r="N77" s="61" t="str"/>
      <x:c r="O77" s="61" t="str">
        <x:v>https://www.passportindex.org/passport/south-korea/</x:v>
      </x:c>
      <x:c r="P77" s="62"/>
      <x:c r="Q77" s="56" t="str">
        <x:f>IF(P77="","미검증",IF(TODAY()-P77&lt;=90,"최신",IF(TODAY()-P77&lt;=180,"갱신 예정","갱신 필요")))</x:f>
        <x:v>미검증</x:v>
      </x:c>
      <x:c r="R77" s="58" t="str">
        <x:v>도착 전 디지털 입국카드 등록</x:v>
      </x:c>
    </x:row>
    <x:row r="78">
      <x:c r="A78" s="56" t="str">
        <x:v>아시아/태평양</x:v>
      </x:c>
      <x:c r="B78" s="56" t="str">
        <x:v>통가</x:v>
      </x:c>
      <x:c r="C78" s="56" t="str">
        <x:v>30일</x:v>
      </x:c>
      <x:c r="D78" s="58" t="str">
        <x:v>외교관여권 소지자 : 상호 관용여권 소지자 : 상호 일반여권 소지자 : 상호</x:v>
      </x:c>
      <x:c r="E78" s="56" t="str">
        <x:v>비자 불필요</x:v>
      </x:c>
      <x:c r="F78" s="59" t="str">
        <x:v>무사증</x:v>
      </x:c>
      <x:c r="G78" s="56" t="str">
        <x:v>아니오</x:v>
      </x:c>
      <x:c r="H78" s="58" t="str">
        <x:v>30일</x:v>
      </x:c>
      <x:c r="I78" s="58" t="str">
        <x:v>일반 확인</x:v>
      </x:c>
      <x:c r="J78" s="58" t="str">
        <x:v>입국 조건 안내</x:v>
      </x:c>
      <x:c r="K78" s="60" t="str">
        <x:v>외교부 기준·갱신 확인 필요</x:v>
      </x:c>
      <x:c r="L78" s="56" t="str">
        <x:f>IF(K78="공식 확인 완료","게시 가능","게시 금지")</x:f>
        <x:v>게시 금지</x:v>
      </x:c>
      <x:c r="M78" s="56" t="str">
        <x:v>P2</x:v>
      </x:c>
      <x:c r="N78" s="61" t="str"/>
      <x:c r="O78" s="61" t="str">
        <x:v>https://www.passportindex.org/passport/south-korea/</x:v>
      </x:c>
      <x:c r="P78" s="62"/>
      <x:c r="Q78" s="56" t="str">
        <x:f>IF(P78="","미검증",IF(TODAY()-P78&lt;=90,"최신",IF(TODAY()-P78&lt;=180,"갱신 예정","갱신 필요")))</x:f>
        <x:v>미검증</x:v>
      </x:c>
      <x:c r="R78" s="58" t="str"/>
    </x:row>
    <x:row r="79">
      <x:c r="A79" s="56" t="str">
        <x:v>아시아/태평양</x:v>
      </x:c>
      <x:c r="B79" s="56" t="str">
        <x:v>투르크메니스탄</x:v>
      </x:c>
      <x:c r="C79" s="56" t="str">
        <x:v>X</x:v>
      </x:c>
      <x:c r="D79" s="58" t="str">
        <x:v>외교관여권 소지자 : 협정 관용여권 소지자 : 협정</x:v>
      </x:c>
      <x:c r="E79" s="56" t="str">
        <x:v>사전 비자 필요</x:v>
      </x:c>
      <x:c r="F79" s="59" t="str">
        <x:v>대사관·영사관 사전비자</x:v>
      </x:c>
      <x:c r="G79" s="56" t="str">
        <x:v>예</x:v>
      </x:c>
      <x:c r="H79" s="58" t="str"/>
      <x:c r="I79" s="58" t="str">
        <x:v>일반 확인</x:v>
      </x:c>
      <x:c r="J79" s="58" t="str">
        <x:v>신청서 작성 보조</x:v>
      </x:c>
      <x:c r="K79" s="60" t="str">
        <x:v>보조자료 분류·공식 확인 필요</x:v>
      </x:c>
      <x:c r="L79" s="56" t="str">
        <x:f>IF(K79="공식 확인 완료","게시 가능","게시 금지")</x:f>
        <x:v>게시 금지</x:v>
      </x:c>
      <x:c r="M79" s="56" t="str">
        <x:v>P0</x:v>
      </x:c>
      <x:c r="N79" s="61" t="str"/>
      <x:c r="O79" s="61" t="str">
        <x:v>https://www.passportindex.org/passport/south-korea/</x:v>
      </x:c>
      <x:c r="P79" s="62"/>
      <x:c r="Q79" s="56" t="str">
        <x:f>IF(P79="","미검증",IF(TODAY()-P79&lt;=90,"최신",IF(TODAY()-P79&lt;=180,"갱신 예정","갱신 필요")))</x:f>
        <x:v>미검증</x:v>
      </x:c>
      <x:c r="R79" s="58" t="str"/>
    </x:row>
    <x:row r="80">
      <x:c r="A80" s="56" t="str">
        <x:v>아시아/태평양</x:v>
      </x:c>
      <x:c r="B80" s="56" t="str">
        <x:v>투발루</x:v>
      </x:c>
      <x:c r="C80" s="56" t="str">
        <x:v>30일</x:v>
      </x:c>
      <x:c r="D80" s="58" t="str">
        <x:v>외교관여권 소지자 : 상호주의 관용여권 소지자 : 상호주의 일반여권 소지자 : 상호주의</x:v>
      </x:c>
      <x:c r="E80" s="56" t="str">
        <x:v>비자 불필요</x:v>
      </x:c>
      <x:c r="F80" s="59" t="str">
        <x:v>무사증</x:v>
      </x:c>
      <x:c r="G80" s="56" t="str">
        <x:v>아니오</x:v>
      </x:c>
      <x:c r="H80" s="58" t="str">
        <x:v>30일</x:v>
      </x:c>
      <x:c r="I80" s="58" t="str">
        <x:v>일반 확인</x:v>
      </x:c>
      <x:c r="J80" s="58" t="str">
        <x:v>입국 조건 안내</x:v>
      </x:c>
      <x:c r="K80" s="60" t="str">
        <x:v>외교부 기준·갱신 확인 필요</x:v>
      </x:c>
      <x:c r="L80" s="56" t="str">
        <x:f>IF(K80="공식 확인 완료","게시 가능","게시 금지")</x:f>
        <x:v>게시 금지</x:v>
      </x:c>
      <x:c r="M80" s="56" t="str">
        <x:v>P2</x:v>
      </x:c>
      <x:c r="N80" s="61" t="str"/>
      <x:c r="O80" s="61" t="str">
        <x:v>https://www.passportindex.org/passport/south-korea/</x:v>
      </x:c>
      <x:c r="P80" s="62"/>
      <x:c r="Q80" s="56" t="str">
        <x:f>IF(P80="","미검증",IF(TODAY()-P80&lt;=90,"최신",IF(TODAY()-P80&lt;=180,"갱신 예정","갱신 필요")))</x:f>
        <x:v>미검증</x:v>
      </x:c>
      <x:c r="R80" s="58" t="str"/>
    </x:row>
    <x:row r="81">
      <x:c r="A81" s="56" t="str">
        <x:v>아시아/태평양</x:v>
      </x:c>
      <x:c r="B81" s="56" t="str">
        <x:v>파키스탄</x:v>
      </x:c>
      <x:c r="C81" s="56" t="str">
        <x:v>X</x:v>
      </x:c>
      <x:c r="D81" s="58" t="str">
        <x:v>외교관여권 소지자 : 협정 관용여권 소지자 : 협정</x:v>
      </x:c>
      <x:c r="E81" s="56" t="str">
        <x:v>사전 비자 필요</x:v>
      </x:c>
      <x:c r="F81" s="59" t="str">
        <x:v>전자비자(eVisa)</x:v>
      </x:c>
      <x:c r="G81" s="56" t="str">
        <x:v>예</x:v>
      </x:c>
      <x:c r="H81" s="58" t="str"/>
      <x:c r="I81" s="58" t="str">
        <x:v>일반 확인</x:v>
      </x:c>
      <x:c r="J81" s="58" t="str">
        <x:v>신청서 작성 보조</x:v>
      </x:c>
      <x:c r="K81" s="60" t="str">
        <x:v>보조자료 분류·공식 확인 필요</x:v>
      </x:c>
      <x:c r="L81" s="56" t="str">
        <x:f>IF(K81="공식 확인 완료","게시 가능","게시 금지")</x:f>
        <x:v>게시 금지</x:v>
      </x:c>
      <x:c r="M81" s="56" t="str">
        <x:v>P0</x:v>
      </x:c>
      <x:c r="N81" s="61" t="str"/>
      <x:c r="O81" s="61" t="str">
        <x:v>https://www.passportindex.org/passport/south-korea/</x:v>
      </x:c>
      <x:c r="P81" s="62"/>
      <x:c r="Q81" s="56" t="str">
        <x:f>IF(P81="","미검증",IF(TODAY()-P81&lt;=90,"최신",IF(TODAY()-P81&lt;=180,"갱신 예정","갱신 필요")))</x:f>
        <x:v>미검증</x:v>
      </x:c>
      <x:c r="R81" s="58" t="str"/>
    </x:row>
    <x:row r="82">
      <x:c r="A82" s="56" t="str">
        <x:v>아시아/태평양</x:v>
      </x:c>
      <x:c r="B82" s="56" t="str">
        <x:v>파푸아뉴기니</x:v>
      </x:c>
      <x:c r="C82" s="56" t="str">
        <x:v>X</x:v>
      </x:c>
      <x:c r="D82" s="58" t="str"/>
      <x:c r="E82" s="56" t="str">
        <x:v>사전 비자 필요</x:v>
      </x:c>
      <x:c r="F82" s="59" t="str">
        <x:v>전자비자(eVisa)</x:v>
      </x:c>
      <x:c r="G82" s="56" t="str">
        <x:v>예</x:v>
      </x:c>
      <x:c r="H82" s="58" t="str">
        <x:v>최대 60일</x:v>
      </x:c>
      <x:c r="I82" s="58" t="str">
        <x:v>일반 확인</x:v>
      </x:c>
      <x:c r="J82" s="58" t="str">
        <x:v>신청서 작성 보조</x:v>
      </x:c>
      <x:c r="K82" s="60" t="str">
        <x:v>보조자료 분류·공식 확인 필요</x:v>
      </x:c>
      <x:c r="L82" s="56" t="str">
        <x:f>IF(K82="공식 확인 완료","게시 가능","게시 금지")</x:f>
        <x:v>게시 금지</x:v>
      </x:c>
      <x:c r="M82" s="56" t="str">
        <x:v>P0</x:v>
      </x:c>
      <x:c r="N82" s="61" t="str"/>
      <x:c r="O82" s="61" t="str">
        <x:v>https://www.passportindex.org/passport/south-korea/</x:v>
      </x:c>
      <x:c r="P82" s="62"/>
      <x:c r="Q82" s="56" t="str">
        <x:f>IF(P82="","미검증",IF(TODAY()-P82&lt;=90,"최신",IF(TODAY()-P82&lt;=180,"갱신 예정","갱신 필요")))</x:f>
        <x:v>미검증</x:v>
      </x:c>
      <x:c r="R82" s="58" t="str">
        <x:v>eVisitor 경로</x:v>
      </x:c>
    </x:row>
    <x:row r="83">
      <x:c r="A83" s="56" t="str">
        <x:v>아시아/태평양</x:v>
      </x:c>
      <x:c r="B83" s="56" t="str">
        <x:v>팔라우</x:v>
      </x:c>
      <x:c r="C83" s="56" t="str">
        <x:v>30일</x:v>
      </x:c>
      <x:c r="D83" s="58" t="str">
        <x:v>외교관여권 소지자 : 상호주의 관용여권 소지자 : 상호주의 일반여권 소지자 : 상호주의</x:v>
      </x:c>
      <x:c r="E83" s="56" t="str">
        <x:v>비자 불필요</x:v>
      </x:c>
      <x:c r="F83" s="59" t="str">
        <x:v>무사증</x:v>
      </x:c>
      <x:c r="G83" s="56" t="str">
        <x:v>아니오</x:v>
      </x:c>
      <x:c r="H83" s="58" t="str">
        <x:v>30일</x:v>
      </x:c>
      <x:c r="I83" s="58" t="str">
        <x:v>일반 확인</x:v>
      </x:c>
      <x:c r="J83" s="58" t="str">
        <x:v>입국 조건 안내</x:v>
      </x:c>
      <x:c r="K83" s="60" t="str">
        <x:v>외교부 기준·갱신 확인 필요</x:v>
      </x:c>
      <x:c r="L83" s="56" t="str">
        <x:f>IF(K83="공식 확인 완료","게시 가능","게시 금지")</x:f>
        <x:v>게시 금지</x:v>
      </x:c>
      <x:c r="M83" s="56" t="str">
        <x:v>P2</x:v>
      </x:c>
      <x:c r="N83" s="61" t="str"/>
      <x:c r="O83" s="61" t="str">
        <x:v>https://www.passportindex.org/passport/south-korea/</x:v>
      </x:c>
      <x:c r="P83" s="62"/>
      <x:c r="Q83" s="56" t="str">
        <x:f>IF(P83="","미검증",IF(TODAY()-P83&lt;=90,"최신",IF(TODAY()-P83&lt;=180,"갱신 예정","갱신 필요")))</x:f>
        <x:v>미검증</x:v>
      </x:c>
      <x:c r="R83" s="58" t="str"/>
    </x:row>
    <x:row r="84">
      <x:c r="A84" s="56" t="str">
        <x:v>아시아/태평양</x:v>
      </x:c>
      <x:c r="B84" s="56" t="str">
        <x:v>피지</x:v>
      </x:c>
      <x:c r="C84" s="56" t="str">
        <x:v>4개월</x:v>
      </x:c>
      <x:c r="D84" s="58" t="str">
        <x:v>외교관여권 소지자 : 상호주의 관용여권 소지자 : 상호주의 일반여권 소지자 : 상호주의</x:v>
      </x:c>
      <x:c r="E84" s="56" t="str">
        <x:v>비자 불필요</x:v>
      </x:c>
      <x:c r="F84" s="59" t="str">
        <x:v>무사증</x:v>
      </x:c>
      <x:c r="G84" s="56" t="str">
        <x:v>아니오</x:v>
      </x:c>
      <x:c r="H84" s="58" t="str">
        <x:v>4개월</x:v>
      </x:c>
      <x:c r="I84" s="58" t="str">
        <x:v>일반 확인</x:v>
      </x:c>
      <x:c r="J84" s="58" t="str">
        <x:v>입국 조건 안내</x:v>
      </x:c>
      <x:c r="K84" s="60" t="str">
        <x:v>외교부 기준·갱신 확인 필요</x:v>
      </x:c>
      <x:c r="L84" s="56" t="str">
        <x:f>IF(K84="공식 확인 완료","게시 가능","게시 금지")</x:f>
        <x:v>게시 금지</x:v>
      </x:c>
      <x:c r="M84" s="56" t="str">
        <x:v>P2</x:v>
      </x:c>
      <x:c r="N84" s="61" t="str"/>
      <x:c r="O84" s="61" t="str">
        <x:v>https://www.passportindex.org/passport/south-korea/</x:v>
      </x:c>
      <x:c r="P84" s="62"/>
      <x:c r="Q84" s="56" t="str">
        <x:f>IF(P84="","미검증",IF(TODAY()-P84&lt;=90,"최신",IF(TODAY()-P84&lt;=180,"갱신 예정","갱신 필요")))</x:f>
        <x:v>미검증</x:v>
      </x:c>
      <x:c r="R84" s="58" t="str"/>
    </x:row>
    <x:row r="85">
      <x:c r="A85" s="56" t="str">
        <x:v>아시아/태평양</x:v>
      </x:c>
      <x:c r="B85" s="56" t="str">
        <x:v>필리핀</x:v>
      </x:c>
      <x:c r="C85" s="56" t="str">
        <x:v>30일</x:v>
      </x:c>
      <x:c r="D85" s="58" t="str">
        <x:v>외교관여권 소지자 : 협정 관용여권 소지자 : 협정 일반여권 소지자 : 일방</x:v>
      </x:c>
      <x:c r="E85" s="56" t="str">
        <x:v>비자 불필요</x:v>
      </x:c>
      <x:c r="F85" s="59" t="str">
        <x:v>무사증</x:v>
      </x:c>
      <x:c r="G85" s="56" t="str">
        <x:v>아니오</x:v>
      </x:c>
      <x:c r="H85" s="58" t="str">
        <x:v>30일</x:v>
      </x:c>
      <x:c r="I85" s="58" t="str">
        <x:v>일반 확인</x:v>
      </x:c>
      <x:c r="J85" s="58" t="str">
        <x:v>입국 조건 안내</x:v>
      </x:c>
      <x:c r="K85" s="60" t="str">
        <x:v>외교부 기준·갱신 확인 필요</x:v>
      </x:c>
      <x:c r="L85" s="56" t="str">
        <x:f>IF(K85="공식 확인 완료","게시 가능","게시 금지")</x:f>
        <x:v>게시 금지</x:v>
      </x:c>
      <x:c r="M85" s="56" t="str">
        <x:v>P2</x:v>
      </x:c>
      <x:c r="N85" s="61" t="str"/>
      <x:c r="O85" s="61" t="str">
        <x:v>https://www.passportindex.org/passport/south-korea/</x:v>
      </x:c>
      <x:c r="P85" s="62"/>
      <x:c r="Q85" s="56" t="str">
        <x:f>IF(P85="","미검증",IF(TODAY()-P85&lt;=90,"최신",IF(TODAY()-P85&lt;=180,"갱신 예정","갱신 필요")))</x:f>
        <x:v>미검증</x:v>
      </x:c>
      <x:c r="R85" s="58" t="str"/>
    </x:row>
    <x:row r="86">
      <x:c r="A86" s="56" t="str">
        <x:v>아시아/태평양</x:v>
      </x:c>
      <x:c r="B86" s="56" t="str">
        <x:v>호주 (오스트레일리아)</x:v>
      </x:c>
      <x:c r="C86" s="56" t="str">
        <x:v>무비자 입국 불가, 최소한 ETA 신청 필요</x:v>
      </x:c>
      <x:c r="D86" s="58" t="str"/>
      <x:c r="E86" s="56" t="str">
        <x:v>비자는 아니나 사전허가 필요</x:v>
      </x:c>
      <x:c r="F86" s="59" t="str">
        <x:v>전자여행허가(ETA)</x:v>
      </x:c>
      <x:c r="G86" s="56" t="str">
        <x:v>예</x:v>
      </x:c>
      <x:c r="H86" s="58" t="str">
        <x:v>최대 90일</x:v>
      </x:c>
      <x:c r="I86" s="58" t="str">
        <x:v>일반 확인</x:v>
      </x:c>
      <x:c r="J86" s="58" t="str">
        <x:v>신청서 작성 보조</x:v>
      </x:c>
      <x:c r="K86" s="60" t="str">
        <x:v>보조자료 분류·공식 확인 필요</x:v>
      </x:c>
      <x:c r="L86" s="56" t="str">
        <x:f>IF(K86="공식 확인 완료","게시 가능","게시 금지")</x:f>
        <x:v>게시 금지</x:v>
      </x:c>
      <x:c r="M86" s="56" t="str">
        <x:v>P0</x:v>
      </x:c>
      <x:c r="N86" s="61" t="str"/>
      <x:c r="O86" s="61" t="str">
        <x:v>https://www.passportindex.org/passport/south-korea/</x:v>
      </x:c>
      <x:c r="P86" s="62"/>
      <x:c r="Q86" s="56" t="str">
        <x:f>IF(P86="","미검증",IF(TODAY()-P86&lt;=90,"최신",IF(TODAY()-P86&lt;=180,"갱신 예정","갱신 필요")))</x:f>
        <x:v>미검증</x:v>
      </x:c>
      <x:c r="R86" s="58" t="str">
        <x:v>ETA 601</x:v>
      </x:c>
    </x:row>
    <x:row r="87">
      <x:c r="A87" s="56" t="str">
        <x:v>아시아/태평양</x:v>
      </x:c>
      <x:c r="B87" s="56" t="str">
        <x:v>홍콩</x:v>
      </x:c>
      <x:c r="C87" s="56" t="str">
        <x:v>90일</x:v>
      </x:c>
      <x:c r="D87" s="58" t="str">
        <x:v>외교관여권 소지자 : 상호주의 관용여권 소지자 : 상호주의 일반여권 소지자 : 상호주의</x:v>
      </x:c>
      <x:c r="E87" s="56" t="str">
        <x:v>비자 불필요</x:v>
      </x:c>
      <x:c r="F87" s="59" t="str">
        <x:v>무사증</x:v>
      </x:c>
      <x:c r="G87" s="56" t="str">
        <x:v>아니오</x:v>
      </x:c>
      <x:c r="H87" s="58" t="str">
        <x:v>90일</x:v>
      </x:c>
      <x:c r="I87" s="58" t="str">
        <x:v>일반 확인</x:v>
      </x:c>
      <x:c r="J87" s="58" t="str">
        <x:v>입국 조건 안내</x:v>
      </x:c>
      <x:c r="K87" s="60" t="str">
        <x:v>외교부 기준·갱신 확인 필요</x:v>
      </x:c>
      <x:c r="L87" s="56" t="str">
        <x:f>IF(K87="공식 확인 완료","게시 가능","게시 금지")</x:f>
        <x:v>게시 금지</x:v>
      </x:c>
      <x:c r="M87" s="56" t="str">
        <x:v>P2</x:v>
      </x:c>
      <x:c r="N87" s="61" t="str"/>
      <x:c r="O87" s="61" t="str">
        <x:v>https://www.passportindex.org/passport/south-korea/</x:v>
      </x:c>
      <x:c r="P87" s="62"/>
      <x:c r="Q87" s="56" t="str">
        <x:f>IF(P87="","미검증",IF(TODAY()-P87&lt;=90,"최신",IF(TODAY()-P87&lt;=180,"갱신 예정","갱신 필요")))</x:f>
        <x:v>미검증</x:v>
      </x:c>
      <x:c r="R87" s="58" t="str"/>
    </x:row>
    <x:row r="88">
      <x:c r="A88" s="56" t="str">
        <x:v>아프리카/중동</x:v>
      </x:c>
      <x:c r="B88" s="56" t="str">
        <x:v>가나</x:v>
      </x:c>
      <x:c r="C88" s="56" t="str">
        <x:v>X</x:v>
      </x:c>
      <x:c r="D88" s="58" t="str"/>
      <x:c r="E88" s="56" t="str">
        <x:v>사전 비자 필요</x:v>
      </x:c>
      <x:c r="F88" s="59" t="str">
        <x:v>전자비자(eVisa)</x:v>
      </x:c>
      <x:c r="G88" s="56" t="str">
        <x:v>예</x:v>
      </x:c>
      <x:c r="H88" s="58" t="str"/>
      <x:c r="I88" s="58" t="str">
        <x:v>일반 확인</x:v>
      </x:c>
      <x:c r="J88" s="58" t="str">
        <x:v>신청서 작성 보조</x:v>
      </x:c>
      <x:c r="K88" s="60" t="str">
        <x:v>보조자료 분류·공식 확인 필요</x:v>
      </x:c>
      <x:c r="L88" s="56" t="str">
        <x:f>IF(K88="공식 확인 완료","게시 가능","게시 금지")</x:f>
        <x:v>게시 금지</x:v>
      </x:c>
      <x:c r="M88" s="56" t="str">
        <x:v>P0</x:v>
      </x:c>
      <x:c r="N88" s="61" t="str"/>
      <x:c r="O88" s="61" t="str">
        <x:v>https://www.passportindex.org/passport/south-korea/</x:v>
      </x:c>
      <x:c r="P88" s="62"/>
      <x:c r="Q88" s="56" t="str">
        <x:f>IF(P88="","미검증",IF(TODAY()-P88&lt;=90,"최신",IF(TODAY()-P88&lt;=180,"갱신 예정","갱신 필요")))</x:f>
        <x:v>미검증</x:v>
      </x:c>
      <x:c r="R88" s="58" t="str">
        <x:v>2026 전자비자 운영 보조자료 기준</x:v>
      </x:c>
    </x:row>
    <x:row r="89">
      <x:c r="A89" s="56" t="str">
        <x:v>아프리카/중동</x:v>
      </x:c>
      <x:c r="B89" s="56" t="str">
        <x:v>가봉</x:v>
      </x:c>
      <x:c r="C89" s="56" t="str">
        <x:v>X</x:v>
      </x:c>
      <x:c r="D89" s="58" t="str">
        <x:v>외교관여권 소지자 : 협정 관용여권 소지자 : 협정</x:v>
      </x:c>
      <x:c r="E89" s="56" t="str">
        <x:v>사전 비자 필요</x:v>
      </x:c>
      <x:c r="F89" s="59" t="str">
        <x:v>전자비자(eVisa)</x:v>
      </x:c>
      <x:c r="G89" s="56" t="str">
        <x:v>예</x:v>
      </x:c>
      <x:c r="H89" s="58" t="str">
        <x:v>최대 90일</x:v>
      </x:c>
      <x:c r="I89" s="58" t="str">
        <x:v>일반 확인</x:v>
      </x:c>
      <x:c r="J89" s="58" t="str">
        <x:v>신청서 작성 보조</x:v>
      </x:c>
      <x:c r="K89" s="60" t="str">
        <x:v>보조자료 분류·공식 확인 필요</x:v>
      </x:c>
      <x:c r="L89" s="56" t="str">
        <x:f>IF(K89="공식 확인 완료","게시 가능","게시 금지")</x:f>
        <x:v>게시 금지</x:v>
      </x:c>
      <x:c r="M89" s="56" t="str">
        <x:v>P0</x:v>
      </x:c>
      <x:c r="N89" s="61" t="str"/>
      <x:c r="O89" s="61" t="str">
        <x:v>https://www.passportindex.org/passport/south-korea/</x:v>
      </x:c>
      <x:c r="P89" s="62"/>
      <x:c r="Q89" s="56" t="str">
        <x:f>IF(P89="","미검증",IF(TODAY()-P89&lt;=90,"최신",IF(TODAY()-P89&lt;=180,"갱신 예정","갱신 필요")))</x:f>
        <x:v>미검증</x:v>
      </x:c>
      <x:c r="R89" s="58" t="str"/>
    </x:row>
    <x:row r="90">
      <x:c r="A90" s="56" t="str">
        <x:v>아프리카/중동</x:v>
      </x:c>
      <x:c r="B90" s="56" t="str">
        <x:v>감비아</x:v>
      </x:c>
      <x:c r="C90" s="56" t="str">
        <x:v>X</x:v>
      </x:c>
      <x:c r="D90" s="58" t="str"/>
      <x:c r="E90" s="56" t="str">
        <x:v>사전 비자 필요</x:v>
      </x:c>
      <x:c r="F90" s="59" t="str">
        <x:v>대사관·영사관 사전비자</x:v>
      </x:c>
      <x:c r="G90" s="56" t="str">
        <x:v>예</x:v>
      </x:c>
      <x:c r="H90" s="58" t="str"/>
      <x:c r="I90" s="58" t="str">
        <x:v>일반 확인</x:v>
      </x:c>
      <x:c r="J90" s="58" t="str">
        <x:v>신청서 작성 보조</x:v>
      </x:c>
      <x:c r="K90" s="60" t="str">
        <x:v>보조자료 분류·공식 확인 필요</x:v>
      </x:c>
      <x:c r="L90" s="56" t="str">
        <x:f>IF(K90="공식 확인 완료","게시 가능","게시 금지")</x:f>
        <x:v>게시 금지</x:v>
      </x:c>
      <x:c r="M90" s="56" t="str">
        <x:v>P0</x:v>
      </x:c>
      <x:c r="N90" s="61" t="str"/>
      <x:c r="O90" s="61" t="str">
        <x:v>https://www.passportindex.org/passport/south-korea/</x:v>
      </x:c>
      <x:c r="P90" s="62"/>
      <x:c r="Q90" s="56" t="str">
        <x:f>IF(P90="","미검증",IF(TODAY()-P90&lt;=90,"최신",IF(TODAY()-P90&lt;=180,"갱신 예정","갱신 필요")))</x:f>
        <x:v>미검증</x:v>
      </x:c>
      <x:c r="R90" s="58" t="str"/>
    </x:row>
    <x:row r="91">
      <x:c r="A91" s="56" t="str">
        <x:v>아프리카/중동</x:v>
      </x:c>
      <x:c r="B91" s="56" t="str">
        <x:v>기니</x:v>
      </x:c>
      <x:c r="C91" s="56" t="str">
        <x:v>X</x:v>
      </x:c>
      <x:c r="D91" s="58" t="str"/>
      <x:c r="E91" s="56" t="str">
        <x:v>사전 비자 필요</x:v>
      </x:c>
      <x:c r="F91" s="59" t="str">
        <x:v>전자비자(eVisa)</x:v>
      </x:c>
      <x:c r="G91" s="56" t="str">
        <x:v>예</x:v>
      </x:c>
      <x:c r="H91" s="58" t="str">
        <x:v>최대 90일</x:v>
      </x:c>
      <x:c r="I91" s="58" t="str">
        <x:v>일반 확인</x:v>
      </x:c>
      <x:c r="J91" s="58" t="str">
        <x:v>신청서 작성 보조</x:v>
      </x:c>
      <x:c r="K91" s="60" t="str">
        <x:v>보조자료 분류·공식 확인 필요</x:v>
      </x:c>
      <x:c r="L91" s="56" t="str">
        <x:f>IF(K91="공식 확인 완료","게시 가능","게시 금지")</x:f>
        <x:v>게시 금지</x:v>
      </x:c>
      <x:c r="M91" s="56" t="str">
        <x:v>P0</x:v>
      </x:c>
      <x:c r="N91" s="61" t="str"/>
      <x:c r="O91" s="61" t="str">
        <x:v>https://www.passportindex.org/passport/south-korea/</x:v>
      </x:c>
      <x:c r="P91" s="62"/>
      <x:c r="Q91" s="56" t="str">
        <x:f>IF(P91="","미검증",IF(TODAY()-P91&lt;=90,"최신",IF(TODAY()-P91&lt;=180,"갱신 예정","갱신 필요")))</x:f>
        <x:v>미검증</x:v>
      </x:c>
      <x:c r="R91" s="58" t="str"/>
    </x:row>
    <x:row r="92">
      <x:c r="A92" s="56" t="str">
        <x:v>아프리카/중동</x:v>
      </x:c>
      <x:c r="B92" s="56" t="str">
        <x:v>기니비사우</x:v>
      </x:c>
      <x:c r="C92" s="56" t="str">
        <x:v>X</x:v>
      </x:c>
      <x:c r="D92" s="58" t="str"/>
      <x:c r="E92" s="56" t="str">
        <x:v>도착 후 비자/허가</x:v>
      </x:c>
      <x:c r="F92" s="59" t="str">
        <x:v>도착비자</x:v>
      </x:c>
      <x:c r="G92" s="56" t="str">
        <x:v>아니오</x:v>
      </x:c>
      <x:c r="H92" s="58" t="str">
        <x:v>최대 90일</x:v>
      </x:c>
      <x:c r="I92" s="58" t="str">
        <x:v>일반 확인</x:v>
      </x:c>
      <x:c r="J92" s="58" t="str">
        <x:v>준비물·현장 절차 안내</x:v>
      </x:c>
      <x:c r="K92" s="60" t="str">
        <x:v>보조자료 분류·공식 확인 필요</x:v>
      </x:c>
      <x:c r="L92" s="56" t="str">
        <x:f>IF(K92="공식 확인 완료","게시 가능","게시 금지")</x:f>
        <x:v>게시 금지</x:v>
      </x:c>
      <x:c r="M92" s="56" t="str">
        <x:v>P1</x:v>
      </x:c>
      <x:c r="N92" s="61" t="str"/>
      <x:c r="O92" s="61" t="str">
        <x:v>https://www.passportindex.org/passport/south-korea/</x:v>
      </x:c>
      <x:c r="P92" s="62"/>
      <x:c r="Q92" s="56" t="str">
        <x:f>IF(P92="","미검증",IF(TODAY()-P92&lt;=90,"최신",IF(TODAY()-P92&lt;=180,"갱신 예정","갱신 필요")))</x:f>
        <x:v>미검증</x:v>
      </x:c>
      <x:c r="R92" s="58" t="str"/>
    </x:row>
    <x:row r="93">
      <x:c r="A93" s="56" t="str">
        <x:v>아프리카/중동</x:v>
      </x:c>
      <x:c r="B93" s="56" t="str">
        <x:v>나미비아</x:v>
      </x:c>
      <x:c r="C93" s="56" t="str">
        <x:v>X</x:v>
      </x:c>
      <x:c r="D93" s="58" t="str"/>
      <x:c r="E93" s="56" t="str">
        <x:v>전자 또는 도착비자 필요</x:v>
      </x:c>
      <x:c r="F93" s="59" t="str">
        <x:v>전자비자/도착비자</x:v>
      </x:c>
      <x:c r="G93" s="56" t="str">
        <x:v>선택 가능</x:v>
      </x:c>
      <x:c r="H93" s="58" t="str">
        <x:v>최대 90일</x:v>
      </x:c>
      <x:c r="I93" s="58" t="str">
        <x:v>일반 확인</x:v>
      </x:c>
      <x:c r="J93" s="58" t="str">
        <x:v>준비물·현장 절차 안내</x:v>
      </x:c>
      <x:c r="K93" s="60" t="str">
        <x:v>보조자료 분류·공식 확인 필요</x:v>
      </x:c>
      <x:c r="L93" s="56" t="str">
        <x:f>IF(K93="공식 확인 완료","게시 가능","게시 금지")</x:f>
        <x:v>게시 금지</x:v>
      </x:c>
      <x:c r="M93" s="56" t="str">
        <x:v>P1</x:v>
      </x:c>
      <x:c r="N93" s="61" t="str"/>
      <x:c r="O93" s="61" t="str">
        <x:v>https://www.passportindex.org/passport/south-korea/</x:v>
      </x:c>
      <x:c r="P93" s="62"/>
      <x:c r="Q93" s="56" t="str">
        <x:f>IF(P93="","미검증",IF(TODAY()-P93&lt;=90,"최신",IF(TODAY()-P93&lt;=180,"갱신 예정","갱신 필요")))</x:f>
        <x:v>미검증</x:v>
      </x:c>
      <x:c r="R93" s="58" t="str"/>
    </x:row>
    <x:row r="94">
      <x:c r="A94" s="56" t="str">
        <x:v>아프리카/중동</x:v>
      </x:c>
      <x:c r="B94" s="56" t="str">
        <x:v>나이지리아</x:v>
      </x:c>
      <x:c r="C94" s="56" t="str">
        <x:v>X</x:v>
      </x:c>
      <x:c r="D94" s="58" t="str"/>
      <x:c r="E94" s="56" t="str">
        <x:v>사전 비자 필요</x:v>
      </x:c>
      <x:c r="F94" s="59" t="str">
        <x:v>전자비자(eVisa)</x:v>
      </x:c>
      <x:c r="G94" s="56" t="str">
        <x:v>예</x:v>
      </x:c>
      <x:c r="H94" s="58" t="str">
        <x:v>최대 90일</x:v>
      </x:c>
      <x:c r="I94" s="58" t="str">
        <x:v>일반 확인</x:v>
      </x:c>
      <x:c r="J94" s="58" t="str">
        <x:v>신청서 작성 보조</x:v>
      </x:c>
      <x:c r="K94" s="60" t="str">
        <x:v>보조자료 분류·공식 확인 필요</x:v>
      </x:c>
      <x:c r="L94" s="56" t="str">
        <x:f>IF(K94="공식 확인 완료","게시 가능","게시 금지")</x:f>
        <x:v>게시 금지</x:v>
      </x:c>
      <x:c r="M94" s="56" t="str">
        <x:v>P0</x:v>
      </x:c>
      <x:c r="N94" s="61" t="str"/>
      <x:c r="O94" s="61" t="str">
        <x:v>https://www.passportindex.org/passport/south-korea/</x:v>
      </x:c>
      <x:c r="P94" s="62"/>
      <x:c r="Q94" s="56" t="str">
        <x:f>IF(P94="","미검증",IF(TODAY()-P94&lt;=90,"최신",IF(TODAY()-P94&lt;=180,"갱신 예정","갱신 필요")))</x:f>
        <x:v>미검증</x:v>
      </x:c>
      <x:c r="R94" s="58" t="str"/>
    </x:row>
    <x:row r="95">
      <x:c r="A95" s="56" t="str">
        <x:v>아프리카/중동</x:v>
      </x:c>
      <x:c r="B95" s="56" t="str">
        <x:v>남수단</x:v>
      </x:c>
      <x:c r="C95" s="56" t="str">
        <x:v>X</x:v>
      </x:c>
      <x:c r="D95" s="58" t="str"/>
      <x:c r="E95" s="56" t="str">
        <x:v>사전 비자 필요</x:v>
      </x:c>
      <x:c r="F95" s="59" t="str">
        <x:v>전자비자(eVisa)</x:v>
      </x:c>
      <x:c r="G95" s="56" t="str">
        <x:v>예</x:v>
      </x:c>
      <x:c r="H95" s="58" t="str">
        <x:v>최대 90일</x:v>
      </x:c>
      <x:c r="I95" s="58" t="str">
        <x:v>일반 확인</x:v>
      </x:c>
      <x:c r="J95" s="58" t="str">
        <x:v>신청서 작성 보조</x:v>
      </x:c>
      <x:c r="K95" s="60" t="str">
        <x:v>보조자료 분류·공식 확인 필요</x:v>
      </x:c>
      <x:c r="L95" s="56" t="str">
        <x:f>IF(K95="공식 확인 완료","게시 가능","게시 금지")</x:f>
        <x:v>게시 금지</x:v>
      </x:c>
      <x:c r="M95" s="56" t="str">
        <x:v>P0</x:v>
      </x:c>
      <x:c r="N95" s="61" t="str"/>
      <x:c r="O95" s="61" t="str">
        <x:v>https://www.passportindex.org/passport/south-korea/</x:v>
      </x:c>
      <x:c r="P95" s="62"/>
      <x:c r="Q95" s="56" t="str">
        <x:f>IF(P95="","미검증",IF(TODAY()-P95&lt;=90,"최신",IF(TODAY()-P95&lt;=180,"갱신 예정","갱신 필요")))</x:f>
        <x:v>미검증</x:v>
      </x:c>
      <x:c r="R95" s="58" t="str"/>
    </x:row>
    <x:row r="96">
      <x:c r="A96" s="56" t="str">
        <x:v>아프리카/중동</x:v>
      </x:c>
      <x:c r="B96" s="56" t="str">
        <x:v>남아프리카 공화국</x:v>
      </x:c>
      <x:c r="C96" s="56" t="str">
        <x:v>30일</x:v>
      </x:c>
      <x:c r="D96" s="58" t="str">
        <x:v>외교관여권 소지자 : 상호주의 관용여권 소지자 : 상호주의 일반여권 소지자 : 상호주의</x:v>
      </x:c>
      <x:c r="E96" s="56" t="str">
        <x:v>비자 불필요</x:v>
      </x:c>
      <x:c r="F96" s="59" t="str">
        <x:v>무사증</x:v>
      </x:c>
      <x:c r="G96" s="56" t="str">
        <x:v>아니오</x:v>
      </x:c>
      <x:c r="H96" s="58" t="str">
        <x:v>30일</x:v>
      </x:c>
      <x:c r="I96" s="58" t="str">
        <x:v>일반 확인</x:v>
      </x:c>
      <x:c r="J96" s="58" t="str">
        <x:v>입국 조건 안내</x:v>
      </x:c>
      <x:c r="K96" s="60" t="str">
        <x:v>외교부 기준·갱신 확인 필요</x:v>
      </x:c>
      <x:c r="L96" s="56" t="str">
        <x:f>IF(K96="공식 확인 완료","게시 가능","게시 금지")</x:f>
        <x:v>게시 금지</x:v>
      </x:c>
      <x:c r="M96" s="56" t="str">
        <x:v>P2</x:v>
      </x:c>
      <x:c r="N96" s="61" t="str"/>
      <x:c r="O96" s="61" t="str">
        <x:v>https://www.passportindex.org/passport/south-korea/</x:v>
      </x:c>
      <x:c r="P96" s="62"/>
      <x:c r="Q96" s="56" t="str">
        <x:f>IF(P96="","미검증",IF(TODAY()-P96&lt;=90,"최신",IF(TODAY()-P96&lt;=180,"갱신 예정","갱신 필요")))</x:f>
        <x:v>미검증</x:v>
      </x:c>
      <x:c r="R96" s="58" t="str"/>
    </x:row>
    <x:row r="97">
      <x:c r="A97" s="56" t="str">
        <x:v>아프리카/중동</x:v>
      </x:c>
      <x:c r="B97" s="56" t="str">
        <x:v>니제르</x:v>
      </x:c>
      <x:c r="C97" s="56" t="str">
        <x:v>X</x:v>
      </x:c>
      <x:c r="D97" s="58" t="str"/>
      <x:c r="E97" s="56" t="str">
        <x:v>사전 비자 필요</x:v>
      </x:c>
      <x:c r="F97" s="59" t="str">
        <x:v>대사관·영사관 사전비자</x:v>
      </x:c>
      <x:c r="G97" s="56" t="str">
        <x:v>예</x:v>
      </x:c>
      <x:c r="H97" s="58" t="str"/>
      <x:c r="I97" s="58" t="str">
        <x:v>일부 지역 제한</x:v>
      </x:c>
      <x:c r="J97" s="58" t="str">
        <x:v>신청서 작성 보조</x:v>
      </x:c>
      <x:c r="K97" s="60" t="str">
        <x:v>보조자료 분류·공식 확인 필요</x:v>
      </x:c>
      <x:c r="L97" s="56" t="str">
        <x:f>IF(K97="공식 확인 완료","게시 가능","게시 금지")</x:f>
        <x:v>게시 금지</x:v>
      </x:c>
      <x:c r="M97" s="56" t="str">
        <x:v>P0</x:v>
      </x:c>
      <x:c r="N97" s="61" t="str"/>
      <x:c r="O97" s="61" t="str">
        <x:v>https://www.passportindex.org/passport/south-korea/</x:v>
      </x:c>
      <x:c r="P97" s="62"/>
      <x:c r="Q97" s="56" t="str">
        <x:f>IF(P97="","미검증",IF(TODAY()-P97&lt;=90,"최신",IF(TODAY()-P97&lt;=180,"갱신 예정","갱신 필요")))</x:f>
        <x:v>미검증</x:v>
      </x:c>
      <x:c r="R97" s="58" t="str"/>
    </x:row>
    <x:row r="98">
      <x:c r="A98" s="56" t="str">
        <x:v>아프리카/중동</x:v>
      </x:c>
      <x:c r="B98" s="56" t="str">
        <x:v>라이베리아</x:v>
      </x:c>
      <x:c r="C98" s="56" t="str">
        <x:v>X 2019.7.18.(목)부터 협정 중지</x:v>
      </x:c>
      <x:c r="D98" s="58" t="str">
        <x:v>외교관여권 소지자 : 협정 관용여권 소지자 : 협정</x:v>
      </x:c>
      <x:c r="E98" s="56" t="str">
        <x:v>비자 불필요</x:v>
      </x:c>
      <x:c r="F98" s="59" t="str">
        <x:v>무사증</x:v>
      </x:c>
      <x:c r="G98" s="56" t="str">
        <x:v>아니오</x:v>
      </x:c>
      <x:c r="H98" s="58" t="str">
        <x:v>X 2019.7.18.(목)부터 협정 중지</x:v>
      </x:c>
      <x:c r="I98" s="58" t="str">
        <x:v>일반 확인</x:v>
      </x:c>
      <x:c r="J98" s="58" t="str">
        <x:v>입국 조건 안내</x:v>
      </x:c>
      <x:c r="K98" s="60" t="str">
        <x:v>외교부 기준·갱신 확인 필요</x:v>
      </x:c>
      <x:c r="L98" s="56" t="str">
        <x:f>IF(K98="공식 확인 완료","게시 가능","게시 금지")</x:f>
        <x:v>게시 금지</x:v>
      </x:c>
      <x:c r="M98" s="56" t="str">
        <x:v>P2</x:v>
      </x:c>
      <x:c r="N98" s="61" t="str"/>
      <x:c r="O98" s="61" t="str">
        <x:v>https://www.passportindex.org/passport/south-korea/</x:v>
      </x:c>
      <x:c r="P98" s="62"/>
      <x:c r="Q98" s="56" t="str">
        <x:f>IF(P98="","미검증",IF(TODAY()-P98&lt;=90,"최신",IF(TODAY()-P98&lt;=180,"갱신 예정","갱신 필요")))</x:f>
        <x:v>미검증</x:v>
      </x:c>
      <x:c r="R98" s="58" t="str"/>
    </x:row>
    <x:row r="99">
      <x:c r="A99" s="56" t="str">
        <x:v>아프리카/중동</x:v>
      </x:c>
      <x:c r="B99" s="56" t="str">
        <x:v>레바논</x:v>
      </x:c>
      <x:c r="C99" s="56" t="str">
        <x:v>X</x:v>
      </x:c>
      <x:c r="D99" s="58" t="str">
        <x:v>외교관여권 소지자 : 상호주의 관용여권 소지자 : 상호주의</x:v>
      </x:c>
      <x:c r="E99" s="56" t="str">
        <x:v>도착 후 비자/허가</x:v>
      </x:c>
      <x:c r="F99" s="59" t="str">
        <x:v>도착비자</x:v>
      </x:c>
      <x:c r="G99" s="56" t="str">
        <x:v>아니오</x:v>
      </x:c>
      <x:c r="H99" s="58" t="str">
        <x:v>최대 30일</x:v>
      </x:c>
      <x:c r="I99" s="58" t="str">
        <x:v>일반 확인</x:v>
      </x:c>
      <x:c r="J99" s="58" t="str">
        <x:v>준비물·현장 절차 안내</x:v>
      </x:c>
      <x:c r="K99" s="60" t="str">
        <x:v>보조자료 분류·공식 확인 필요</x:v>
      </x:c>
      <x:c r="L99" s="56" t="str">
        <x:f>IF(K99="공식 확인 완료","게시 가능","게시 금지")</x:f>
        <x:v>게시 금지</x:v>
      </x:c>
      <x:c r="M99" s="56" t="str">
        <x:v>P1</x:v>
      </x:c>
      <x:c r="N99" s="61" t="str"/>
      <x:c r="O99" s="61" t="str">
        <x:v>https://www.passportindex.org/passport/south-korea/</x:v>
      </x:c>
      <x:c r="P99" s="62"/>
      <x:c r="Q99" s="56" t="str">
        <x:f>IF(P99="","미검증",IF(TODAY()-P99&lt;=90,"최신",IF(TODAY()-P99&lt;=180,"갱신 예정","갱신 필요")))</x:f>
        <x:v>미검증</x:v>
      </x:c>
      <x:c r="R99" s="58" t="str">
        <x:v>조건부 입국 가능성 확인 필요</x:v>
      </x:c>
    </x:row>
    <x:row r="100">
      <x:c r="A100" s="56" t="str">
        <x:v>아프리카/중동</x:v>
      </x:c>
      <x:c r="B100" s="56" t="str">
        <x:v>레소토</x:v>
      </x:c>
      <x:c r="C100" s="56" t="str">
        <x:v>60일</x:v>
      </x:c>
      <x:c r="D100" s="58" t="str">
        <x:v>외교관여권 소지자 : 협정 관용여권 소지자 : 협정 일반여권 소지자 : 협정</x:v>
      </x:c>
      <x:c r="E100" s="56" t="str">
        <x:v>비자 불필요</x:v>
      </x:c>
      <x:c r="F100" s="59" t="str">
        <x:v>무사증</x:v>
      </x:c>
      <x:c r="G100" s="56" t="str">
        <x:v>아니오</x:v>
      </x:c>
      <x:c r="H100" s="58" t="str">
        <x:v>60일</x:v>
      </x:c>
      <x:c r="I100" s="58" t="str">
        <x:v>일반 확인</x:v>
      </x:c>
      <x:c r="J100" s="58" t="str">
        <x:v>입국 조건 안내</x:v>
      </x:c>
      <x:c r="K100" s="60" t="str">
        <x:v>외교부 기준·갱신 확인 필요</x:v>
      </x:c>
      <x:c r="L100" s="56" t="str">
        <x:f>IF(K100="공식 확인 완료","게시 가능","게시 금지")</x:f>
        <x:v>게시 금지</x:v>
      </x:c>
      <x:c r="M100" s="56" t="str">
        <x:v>P2</x:v>
      </x:c>
      <x:c r="N100" s="61" t="str"/>
      <x:c r="O100" s="61" t="str">
        <x:v>https://www.passportindex.org/passport/south-korea/</x:v>
      </x:c>
      <x:c r="P100" s="62"/>
      <x:c r="Q100" s="56" t="str">
        <x:f>IF(P100="","미검증",IF(TODAY()-P100&lt;=90,"최신",IF(TODAY()-P100&lt;=180,"갱신 예정","갱신 필요")))</x:f>
        <x:v>미검증</x:v>
      </x:c>
      <x:c r="R100" s="58" t="str"/>
    </x:row>
    <x:row r="101">
      <x:c r="A101" s="56" t="str">
        <x:v>아프리카/중동</x:v>
      </x:c>
      <x:c r="B101" s="56" t="str">
        <x:v>르완다</x:v>
      </x:c>
      <x:c r="C101" s="56" t="str">
        <x:v>X</x:v>
      </x:c>
      <x:c r="D101" s="58" t="str"/>
      <x:c r="E101" s="56" t="str">
        <x:v>전자 또는 도착비자 필요</x:v>
      </x:c>
      <x:c r="F101" s="59" t="str">
        <x:v>전자비자/도착비자</x:v>
      </x:c>
      <x:c r="G101" s="56" t="str">
        <x:v>선택 가능</x:v>
      </x:c>
      <x:c r="H101" s="58" t="str">
        <x:v>최대 30일</x:v>
      </x:c>
      <x:c r="I101" s="58" t="str">
        <x:v>일반 확인</x:v>
      </x:c>
      <x:c r="J101" s="58" t="str">
        <x:v>준비물·현장 절차 안내</x:v>
      </x:c>
      <x:c r="K101" s="60" t="str">
        <x:v>보조자료 분류·공식 확인 필요</x:v>
      </x:c>
      <x:c r="L101" s="56" t="str">
        <x:f>IF(K101="공식 확인 완료","게시 가능","게시 금지")</x:f>
        <x:v>게시 금지</x:v>
      </x:c>
      <x:c r="M101" s="56" t="str">
        <x:v>P1</x:v>
      </x:c>
      <x:c r="N101" s="61" t="str"/>
      <x:c r="O101" s="61" t="str">
        <x:v>https://www.passportindex.org/passport/south-korea/</x:v>
      </x:c>
      <x:c r="P101" s="62"/>
      <x:c r="Q101" s="56" t="str">
        <x:f>IF(P101="","미검증",IF(TODAY()-P101&lt;=90,"최신",IF(TODAY()-P101&lt;=180,"갱신 예정","갱신 필요")))</x:f>
        <x:v>미검증</x:v>
      </x:c>
      <x:c r="R101" s="58" t="str"/>
    </x:row>
    <x:row r="102">
      <x:c r="A102" s="56" t="str">
        <x:v>아프리카/중동</x:v>
      </x:c>
      <x:c r="B102" s="56" t="str">
        <x:v>리비아</x:v>
      </x:c>
      <x:c r="C102" s="56" t="str">
        <x:v>X</x:v>
      </x:c>
      <x:c r="D102" s="58" t="str"/>
      <x:c r="E102" s="56" t="str">
        <x:v>사전 비자 필요</x:v>
      </x:c>
      <x:c r="F102" s="59" t="str">
        <x:v>전자비자(eVisa)</x:v>
      </x:c>
      <x:c r="G102" s="56" t="str">
        <x:v>예</x:v>
      </x:c>
      <x:c r="H102" s="58" t="str"/>
      <x:c r="I102" s="58" t="str">
        <x:v>여권 사용 제한 대상</x:v>
      </x:c>
      <x:c r="J102" s="58" t="str">
        <x:v>신청서 작성 보조</x:v>
      </x:c>
      <x:c r="K102" s="60" t="str">
        <x:v>보조자료 분류·공식 확인 필요</x:v>
      </x:c>
      <x:c r="L102" s="56" t="str">
        <x:f>IF(K102="공식 확인 완료","게시 가능","게시 금지")</x:f>
        <x:v>게시 금지</x:v>
      </x:c>
      <x:c r="M102" s="56" t="str">
        <x:v>P0</x:v>
      </x:c>
      <x:c r="N102" s="61" t="str"/>
      <x:c r="O102" s="61" t="str">
        <x:v>https://www.passportindex.org/passport/south-korea/</x:v>
      </x:c>
      <x:c r="P102" s="62"/>
      <x:c r="Q102" s="56" t="str">
        <x:f>IF(P102="","미검증",IF(TODAY()-P102&lt;=90,"최신",IF(TODAY()-P102&lt;=180,"갱신 예정","갱신 필요")))</x:f>
        <x:v>미검증</x:v>
      </x:c>
      <x:c r="R102" s="58" t="str">
        <x:v>대한민국 여권 사용 제한 여부 우선 확인</x:v>
      </x:c>
    </x:row>
    <x:row r="103">
      <x:c r="A103" s="56" t="str">
        <x:v>아프리카/중동</x:v>
      </x:c>
      <x:c r="B103" s="56" t="str">
        <x:v>마다가스카르</x:v>
      </x:c>
      <x:c r="C103" s="56" t="str">
        <x:v>X</x:v>
      </x:c>
      <x:c r="D103" s="58" t="str"/>
      <x:c r="E103" s="56" t="str">
        <x:v>전자 또는 도착비자 필요</x:v>
      </x:c>
      <x:c r="F103" s="59" t="str">
        <x:v>전자비자/도착비자</x:v>
      </x:c>
      <x:c r="G103" s="56" t="str">
        <x:v>선택 가능</x:v>
      </x:c>
      <x:c r="H103" s="58" t="str">
        <x:v>최대 90일</x:v>
      </x:c>
      <x:c r="I103" s="58" t="str">
        <x:v>일반 확인</x:v>
      </x:c>
      <x:c r="J103" s="58" t="str">
        <x:v>준비물·현장 절차 안내</x:v>
      </x:c>
      <x:c r="K103" s="60" t="str">
        <x:v>보조자료 분류·공식 확인 필요</x:v>
      </x:c>
      <x:c r="L103" s="56" t="str">
        <x:f>IF(K103="공식 확인 완료","게시 가능","게시 금지")</x:f>
        <x:v>게시 금지</x:v>
      </x:c>
      <x:c r="M103" s="56" t="str">
        <x:v>P1</x:v>
      </x:c>
      <x:c r="N103" s="61" t="str"/>
      <x:c r="O103" s="61" t="str">
        <x:v>https://www.passportindex.org/passport/south-korea/</x:v>
      </x:c>
      <x:c r="P103" s="62"/>
      <x:c r="Q103" s="56" t="str">
        <x:f>IF(P103="","미검증",IF(TODAY()-P103&lt;=90,"최신",IF(TODAY()-P103&lt;=180,"갱신 예정","갱신 필요")))</x:f>
        <x:v>미검증</x:v>
      </x:c>
      <x:c r="R103" s="58" t="str"/>
    </x:row>
    <x:row r="104">
      <x:c r="A104" s="56" t="str">
        <x:v>아프리카/중동</x:v>
      </x:c>
      <x:c r="B104" s="56" t="str">
        <x:v>말라위</x:v>
      </x:c>
      <x:c r="C104" s="56" t="str">
        <x:v>X</x:v>
      </x:c>
      <x:c r="D104" s="58" t="str"/>
      <x:c r="E104" s="56" t="str">
        <x:v>전자 또는 도착비자 필요</x:v>
      </x:c>
      <x:c r="F104" s="59" t="str">
        <x:v>전자비자/도착비자</x:v>
      </x:c>
      <x:c r="G104" s="56" t="str">
        <x:v>선택 가능</x:v>
      </x:c>
      <x:c r="H104" s="58" t="str">
        <x:v>최대 30일</x:v>
      </x:c>
      <x:c r="I104" s="58" t="str">
        <x:v>일반 확인</x:v>
      </x:c>
      <x:c r="J104" s="58" t="str">
        <x:v>준비물·현장 절차 안내</x:v>
      </x:c>
      <x:c r="K104" s="60" t="str">
        <x:v>보조자료 분류·공식 확인 필요</x:v>
      </x:c>
      <x:c r="L104" s="56" t="str">
        <x:f>IF(K104="공식 확인 완료","게시 가능","게시 금지")</x:f>
        <x:v>게시 금지</x:v>
      </x:c>
      <x:c r="M104" s="56" t="str">
        <x:v>P1</x:v>
      </x:c>
      <x:c r="N104" s="61" t="str"/>
      <x:c r="O104" s="61" t="str">
        <x:v>https://www.passportindex.org/passport/south-korea/</x:v>
      </x:c>
      <x:c r="P104" s="62"/>
      <x:c r="Q104" s="56" t="str">
        <x:f>IF(P104="","미검증",IF(TODAY()-P104&lt;=90,"최신",IF(TODAY()-P104&lt;=180,"갱신 예정","갱신 필요")))</x:f>
        <x:v>미검증</x:v>
      </x:c>
      <x:c r="R104" s="58" t="str"/>
    </x:row>
    <x:row r="105">
      <x:c r="A105" s="56" t="str">
        <x:v>아프리카/중동</x:v>
      </x:c>
      <x:c r="B105" s="56" t="str">
        <x:v>말리</x:v>
      </x:c>
      <x:c r="C105" s="56" t="str">
        <x:v>X</x:v>
      </x:c>
      <x:c r="D105" s="58" t="str"/>
      <x:c r="E105" s="56" t="str">
        <x:v>사전 비자 필요</x:v>
      </x:c>
      <x:c r="F105" s="59" t="str">
        <x:v>대사관·영사관 사전비자</x:v>
      </x:c>
      <x:c r="G105" s="56" t="str">
        <x:v>예</x:v>
      </x:c>
      <x:c r="H105" s="58" t="str"/>
      <x:c r="I105" s="58" t="str">
        <x:v>여권 사용 제한 대상</x:v>
      </x:c>
      <x:c r="J105" s="58" t="str">
        <x:v>신청서 작성 보조</x:v>
      </x:c>
      <x:c r="K105" s="60" t="str">
        <x:v>보조자료 분류·공식 확인 필요</x:v>
      </x:c>
      <x:c r="L105" s="56" t="str">
        <x:f>IF(K105="공식 확인 완료","게시 가능","게시 금지")</x:f>
        <x:v>게시 금지</x:v>
      </x:c>
      <x:c r="M105" s="56" t="str">
        <x:v>P0</x:v>
      </x:c>
      <x:c r="N105" s="61" t="str"/>
      <x:c r="O105" s="61" t="str">
        <x:v>https://www.passportindex.org/passport/south-korea/</x:v>
      </x:c>
      <x:c r="P105" s="62"/>
      <x:c r="Q105" s="56" t="str">
        <x:f>IF(P105="","미검증",IF(TODAY()-P105&lt;=90,"최신",IF(TODAY()-P105&lt;=180,"갱신 예정","갱신 필요")))</x:f>
        <x:v>미검증</x:v>
      </x:c>
      <x:c r="R105" s="58" t="str">
        <x:v>대한민국 여권 사용 제한 여부 우선 확인</x:v>
      </x:c>
    </x:row>
    <x:row r="106">
      <x:c r="A106" s="56" t="str">
        <x:v>아프리카/중동</x:v>
      </x:c>
      <x:c r="B106" s="56" t="str">
        <x:v>모로코</x:v>
      </x:c>
      <x:c r="C106" s="56" t="str">
        <x:v>90일</x:v>
      </x:c>
      <x:c r="D106" s="58" t="str">
        <x:v>외교관여권 소지자 : 협정 관용여권 소지자 : 협정 일반여권 소지자 : 협정</x:v>
      </x:c>
      <x:c r="E106" s="56" t="str">
        <x:v>비자 불필요</x:v>
      </x:c>
      <x:c r="F106" s="59" t="str">
        <x:v>무사증</x:v>
      </x:c>
      <x:c r="G106" s="56" t="str">
        <x:v>아니오</x:v>
      </x:c>
      <x:c r="H106" s="58" t="str">
        <x:v>90일</x:v>
      </x:c>
      <x:c r="I106" s="58" t="str">
        <x:v>일반 확인</x:v>
      </x:c>
      <x:c r="J106" s="58" t="str">
        <x:v>입국 조건 안내</x:v>
      </x:c>
      <x:c r="K106" s="60" t="str">
        <x:v>외교부 기준·갱신 확인 필요</x:v>
      </x:c>
      <x:c r="L106" s="56" t="str">
        <x:f>IF(K106="공식 확인 완료","게시 가능","게시 금지")</x:f>
        <x:v>게시 금지</x:v>
      </x:c>
      <x:c r="M106" s="56" t="str">
        <x:v>P2</x:v>
      </x:c>
      <x:c r="N106" s="61" t="str"/>
      <x:c r="O106" s="61" t="str">
        <x:v>https://www.passportindex.org/passport/south-korea/</x:v>
      </x:c>
      <x:c r="P106" s="62"/>
      <x:c r="Q106" s="56" t="str">
        <x:f>IF(P106="","미검증",IF(TODAY()-P106&lt;=90,"최신",IF(TODAY()-P106&lt;=180,"갱신 예정","갱신 필요")))</x:f>
        <x:v>미검증</x:v>
      </x:c>
      <x:c r="R106" s="58" t="str"/>
    </x:row>
    <x:row r="107">
      <x:c r="A107" s="56" t="str">
        <x:v>아프리카/중동</x:v>
      </x:c>
      <x:c r="B107" s="56" t="str">
        <x:v>모리셔스</x:v>
      </x:c>
      <x:c r="C107" s="56" t="str">
        <x:v>90일</x:v>
      </x:c>
      <x:c r="D107" s="58" t="str">
        <x:v>외교관여권 소지자 : 상호주의 관용여권 소지자 : 상호주의 일반여권 소지자 : 상호주의</x:v>
      </x:c>
      <x:c r="E107" s="56" t="str">
        <x:v>비자 불필요</x:v>
      </x:c>
      <x:c r="F107" s="59" t="str">
        <x:v>무사증</x:v>
      </x:c>
      <x:c r="G107" s="56" t="str">
        <x:v>아니오</x:v>
      </x:c>
      <x:c r="H107" s="58" t="str">
        <x:v>90일</x:v>
      </x:c>
      <x:c r="I107" s="58" t="str">
        <x:v>일반 확인</x:v>
      </x:c>
      <x:c r="J107" s="58" t="str">
        <x:v>입국 조건 안내</x:v>
      </x:c>
      <x:c r="K107" s="60" t="str">
        <x:v>외교부 기준·갱신 확인 필요</x:v>
      </x:c>
      <x:c r="L107" s="56" t="str">
        <x:f>IF(K107="공식 확인 완료","게시 가능","게시 금지")</x:f>
        <x:v>게시 금지</x:v>
      </x:c>
      <x:c r="M107" s="56" t="str">
        <x:v>P2</x:v>
      </x:c>
      <x:c r="N107" s="61" t="str"/>
      <x:c r="O107" s="61" t="str">
        <x:v>https://www.passportindex.org/passport/south-korea/</x:v>
      </x:c>
      <x:c r="P107" s="62"/>
      <x:c r="Q107" s="56" t="str">
        <x:f>IF(P107="","미검증",IF(TODAY()-P107&lt;=90,"최신",IF(TODAY()-P107&lt;=180,"갱신 예정","갱신 필요")))</x:f>
        <x:v>미검증</x:v>
      </x:c>
      <x:c r="R107" s="58" t="str"/>
    </x:row>
    <x:row r="108">
      <x:c r="A108" s="56" t="str">
        <x:v>아프리카/중동</x:v>
      </x:c>
      <x:c r="B108" s="56" t="str">
        <x:v>모리타니아</x:v>
      </x:c>
      <x:c r="C108" s="56" t="str">
        <x:v>X</x:v>
      </x:c>
      <x:c r="D108" s="58" t="str"/>
      <x:c r="E108" s="56" t="str">
        <x:v>사전 비자 필요</x:v>
      </x:c>
      <x:c r="F108" s="59" t="str">
        <x:v>전자비자(eVisa)</x:v>
      </x:c>
      <x:c r="G108" s="56" t="str">
        <x:v>예</x:v>
      </x:c>
      <x:c r="H108" s="58" t="str">
        <x:v>최대 90일</x:v>
      </x:c>
      <x:c r="I108" s="58" t="str">
        <x:v>일반 확인</x:v>
      </x:c>
      <x:c r="J108" s="58" t="str">
        <x:v>신청서 작성 보조</x:v>
      </x:c>
      <x:c r="K108" s="60" t="str">
        <x:v>보조자료 분류·공식 확인 필요</x:v>
      </x:c>
      <x:c r="L108" s="56" t="str">
        <x:f>IF(K108="공식 확인 완료","게시 가능","게시 금지")</x:f>
        <x:v>게시 금지</x:v>
      </x:c>
      <x:c r="M108" s="56" t="str">
        <x:v>P0</x:v>
      </x:c>
      <x:c r="N108" s="61" t="str"/>
      <x:c r="O108" s="61" t="str">
        <x:v>https://www.passportindex.org/passport/south-korea/</x:v>
      </x:c>
      <x:c r="P108" s="62"/>
      <x:c r="Q108" s="56" t="str">
        <x:f>IF(P108="","미검증",IF(TODAY()-P108&lt;=90,"최신",IF(TODAY()-P108&lt;=180,"갱신 예정","갱신 필요")))</x:f>
        <x:v>미검증</x:v>
      </x:c>
      <x:c r="R108" s="58" t="str"/>
    </x:row>
    <x:row r="109">
      <x:c r="A109" s="56" t="str">
        <x:v>아프리카/중동</x:v>
      </x:c>
      <x:c r="B109" s="56" t="str">
        <x:v>모잠비크</x:v>
      </x:c>
      <x:c r="C109" s="56" t="str">
        <x:v>60일 무사증 30일, 입국 후 추가 연장 30일 가능</x:v>
      </x:c>
      <x:c r="D109" s="58" t="str">
        <x:v>외교관여권 소지자 : 협정 관용여권 소지자 : 협정 일반여권 소지자 : 일방적 면제</x:v>
      </x:c>
      <x:c r="E109" s="56" t="str">
        <x:v>비자 불필요·등록 필요</x:v>
      </x:c>
      <x:c r="F109" s="59" t="str">
        <x:v>무사증+입국등록</x:v>
      </x:c>
      <x:c r="G109" s="56" t="str">
        <x:v>예</x:v>
      </x:c>
      <x:c r="H109" s="58" t="str">
        <x:v>단기 방문</x:v>
      </x:c>
      <x:c r="I109" s="58" t="str">
        <x:v>일반 확인</x:v>
      </x:c>
      <x:c r="J109" s="58" t="str">
        <x:v>신청서 작성 보조</x:v>
      </x:c>
      <x:c r="K109" s="60" t="str">
        <x:v>보조자료 분류·공식 확인 필요</x:v>
      </x:c>
      <x:c r="L109" s="56" t="str">
        <x:f>IF(K109="공식 확인 완료","게시 가능","게시 금지")</x:f>
        <x:v>게시 금지</x:v>
      </x:c>
      <x:c r="M109" s="56" t="str">
        <x:v>P1</x:v>
      </x:c>
      <x:c r="N109" s="61" t="str"/>
      <x:c r="O109" s="61" t="str">
        <x:v>https://www.passportindex.org/passport/south-korea/</x:v>
      </x:c>
      <x:c r="P109" s="62"/>
      <x:c r="Q109" s="56" t="str">
        <x:f>IF(P109="","미검증",IF(TODAY()-P109&lt;=90,"최신",IF(TODAY()-P109&lt;=180,"갱신 예정","갱신 필요")))</x:f>
        <x:v>미검증</x:v>
      </x:c>
      <x:c r="R109" s="58" t="str">
        <x:v>2026 무사증 대상 확대; 전자등록 여부 재확인</x:v>
      </x:c>
    </x:row>
    <x:row r="110">
      <x:c r="A110" s="56" t="str">
        <x:v>아프리카/중동</x:v>
      </x:c>
      <x:c r="B110" s="56" t="str">
        <x:v>바레인</x:v>
      </x:c>
      <x:c r="C110" s="56" t="str">
        <x:v>X</x:v>
      </x:c>
      <x:c r="D110" s="58" t="str"/>
      <x:c r="E110" s="56" t="str">
        <x:v>전자 또는 도착비자 필요</x:v>
      </x:c>
      <x:c r="F110" s="59" t="str">
        <x:v>전자비자/도착비자</x:v>
      </x:c>
      <x:c r="G110" s="56" t="str">
        <x:v>선택 가능</x:v>
      </x:c>
      <x:c r="H110" s="58" t="str">
        <x:v>최대 30일</x:v>
      </x:c>
      <x:c r="I110" s="58" t="str">
        <x:v>일반 확인</x:v>
      </x:c>
      <x:c r="J110" s="58" t="str">
        <x:v>준비물·현장 절차 안내</x:v>
      </x:c>
      <x:c r="K110" s="60" t="str">
        <x:v>보조자료 분류·공식 확인 필요</x:v>
      </x:c>
      <x:c r="L110" s="56" t="str">
        <x:f>IF(K110="공식 확인 완료","게시 가능","게시 금지")</x:f>
        <x:v>게시 금지</x:v>
      </x:c>
      <x:c r="M110" s="56" t="str">
        <x:v>P1</x:v>
      </x:c>
      <x:c r="N110" s="61" t="str"/>
      <x:c r="O110" s="61" t="str">
        <x:v>https://www.passportindex.org/passport/south-korea/</x:v>
      </x:c>
      <x:c r="P110" s="62"/>
      <x:c r="Q110" s="56" t="str">
        <x:f>IF(P110="","미검증",IF(TODAY()-P110&lt;=90,"최신",IF(TODAY()-P110&lt;=180,"갱신 예정","갱신 필요")))</x:f>
        <x:v>미검증</x:v>
      </x:c>
      <x:c r="R110" s="58" t="str"/>
    </x:row>
    <x:row r="111">
      <x:c r="A111" s="56" t="str">
        <x:v>아프리카/중동</x:v>
      </x:c>
      <x:c r="B111" s="56" t="str">
        <x:v>베냉</x:v>
      </x:c>
      <x:c r="C111" s="56" t="str">
        <x:v>X</x:v>
      </x:c>
      <x:c r="D111" s="58" t="str">
        <x:v>외교관여권 소지자 : 협정 관용여권 소지자 : 협정</x:v>
      </x:c>
      <x:c r="E111" s="56" t="str">
        <x:v>사전 비자 필요</x:v>
      </x:c>
      <x:c r="F111" s="59" t="str">
        <x:v>전자비자(eVisa)</x:v>
      </x:c>
      <x:c r="G111" s="56" t="str">
        <x:v>예</x:v>
      </x:c>
      <x:c r="H111" s="58" t="str"/>
      <x:c r="I111" s="58" t="str">
        <x:v>일반 확인</x:v>
      </x:c>
      <x:c r="J111" s="58" t="str">
        <x:v>신청서 작성 보조</x:v>
      </x:c>
      <x:c r="K111" s="60" t="str">
        <x:v>보조자료 분류·공식 확인 필요</x:v>
      </x:c>
      <x:c r="L111" s="56" t="str">
        <x:f>IF(K111="공식 확인 완료","게시 가능","게시 금지")</x:f>
        <x:v>게시 금지</x:v>
      </x:c>
      <x:c r="M111" s="56" t="str">
        <x:v>P0</x:v>
      </x:c>
      <x:c r="N111" s="61" t="str"/>
      <x:c r="O111" s="61" t="str">
        <x:v>https://www.passportindex.org/passport/south-korea/</x:v>
      </x:c>
      <x:c r="P111" s="62"/>
      <x:c r="Q111" s="56" t="str">
        <x:f>IF(P111="","미검증",IF(TODAY()-P111&lt;=90,"최신",IF(TODAY()-P111&lt;=180,"갱신 예정","갱신 필요")))</x:f>
        <x:v>미검증</x:v>
      </x:c>
      <x:c r="R111" s="58" t="str"/>
    </x:row>
    <x:row r="112">
      <x:c r="A112" s="56" t="str">
        <x:v>아프리카/중동</x:v>
      </x:c>
      <x:c r="B112" s="56" t="str">
        <x:v>보츠와나</x:v>
      </x:c>
      <x:c r="C112" s="56" t="str">
        <x:v>90일</x:v>
      </x:c>
      <x:c r="D112" s="58" t="str">
        <x:v>외교관여권 소지자 : 상호주의 관용여권 소지자 : 상호주의 일반여권 소지자 : 상호주의</x:v>
      </x:c>
      <x:c r="E112" s="56" t="str">
        <x:v>비자 불필요</x:v>
      </x:c>
      <x:c r="F112" s="59" t="str">
        <x:v>무사증</x:v>
      </x:c>
      <x:c r="G112" s="56" t="str">
        <x:v>아니오</x:v>
      </x:c>
      <x:c r="H112" s="58" t="str">
        <x:v>90일</x:v>
      </x:c>
      <x:c r="I112" s="58" t="str">
        <x:v>일반 확인</x:v>
      </x:c>
      <x:c r="J112" s="58" t="str">
        <x:v>입국 조건 안내</x:v>
      </x:c>
      <x:c r="K112" s="60" t="str">
        <x:v>외교부 기준·갱신 확인 필요</x:v>
      </x:c>
      <x:c r="L112" s="56" t="str">
        <x:f>IF(K112="공식 확인 완료","게시 가능","게시 금지")</x:f>
        <x:v>게시 금지</x:v>
      </x:c>
      <x:c r="M112" s="56" t="str">
        <x:v>P2</x:v>
      </x:c>
      <x:c r="N112" s="61" t="str"/>
      <x:c r="O112" s="61" t="str">
        <x:v>https://www.passportindex.org/passport/south-korea/</x:v>
      </x:c>
      <x:c r="P112" s="62"/>
      <x:c r="Q112" s="56" t="str">
        <x:f>IF(P112="","미검증",IF(TODAY()-P112&lt;=90,"최신",IF(TODAY()-P112&lt;=180,"갱신 예정","갱신 필요")))</x:f>
        <x:v>미검증</x:v>
      </x:c>
      <x:c r="R112" s="58" t="str"/>
    </x:row>
    <x:row r="113">
      <x:c r="A113" s="56" t="str">
        <x:v>아프리카/중동</x:v>
      </x:c>
      <x:c r="B113" s="56" t="str">
        <x:v>부룬디</x:v>
      </x:c>
      <x:c r="C113" s="56" t="str">
        <x:v>X</x:v>
      </x:c>
      <x:c r="D113" s="58" t="str"/>
      <x:c r="E113" s="56" t="str">
        <x:v>전자 또는 도착비자 필요</x:v>
      </x:c>
      <x:c r="F113" s="59" t="str">
        <x:v>전자비자/도착비자</x:v>
      </x:c>
      <x:c r="G113" s="56" t="str">
        <x:v>선택 가능</x:v>
      </x:c>
      <x:c r="H113" s="58" t="str">
        <x:v>최대 30일</x:v>
      </x:c>
      <x:c r="I113" s="58" t="str">
        <x:v>일반 확인</x:v>
      </x:c>
      <x:c r="J113" s="58" t="str">
        <x:v>준비물·현장 절차 안내</x:v>
      </x:c>
      <x:c r="K113" s="60" t="str">
        <x:v>보조자료 분류·공식 확인 필요</x:v>
      </x:c>
      <x:c r="L113" s="56" t="str">
        <x:f>IF(K113="공식 확인 완료","게시 가능","게시 금지")</x:f>
        <x:v>게시 금지</x:v>
      </x:c>
      <x:c r="M113" s="56" t="str">
        <x:v>P1</x:v>
      </x:c>
      <x:c r="N113" s="61" t="str"/>
      <x:c r="O113" s="61" t="str">
        <x:v>https://www.passportindex.org/passport/south-korea/</x:v>
      </x:c>
      <x:c r="P113" s="62"/>
      <x:c r="Q113" s="56" t="str">
        <x:f>IF(P113="","미검증",IF(TODAY()-P113&lt;=90,"최신",IF(TODAY()-P113&lt;=180,"갱신 예정","갱신 필요")))</x:f>
        <x:v>미검증</x:v>
      </x:c>
      <x:c r="R113" s="58" t="str"/>
    </x:row>
    <x:row r="114">
      <x:c r="A114" s="56" t="str">
        <x:v>아프리카/중동</x:v>
      </x:c>
      <x:c r="B114" s="56" t="str">
        <x:v>부르키나파소</x:v>
      </x:c>
      <x:c r="C114" s="56" t="str">
        <x:v>X</x:v>
      </x:c>
      <x:c r="D114" s="58" t="str"/>
      <x:c r="E114" s="56" t="str">
        <x:v>사전 비자 필요</x:v>
      </x:c>
      <x:c r="F114" s="59" t="str">
        <x:v>전자비자(eVisa)</x:v>
      </x:c>
      <x:c r="G114" s="56" t="str">
        <x:v>예</x:v>
      </x:c>
      <x:c r="H114" s="58" t="str"/>
      <x:c r="I114" s="58" t="str">
        <x:v>일반 확인</x:v>
      </x:c>
      <x:c r="J114" s="58" t="str">
        <x:v>신청서 작성 보조</x:v>
      </x:c>
      <x:c r="K114" s="60" t="str">
        <x:v>보조자료 분류·공식 확인 필요</x:v>
      </x:c>
      <x:c r="L114" s="56" t="str">
        <x:f>IF(K114="공식 확인 완료","게시 가능","게시 금지")</x:f>
        <x:v>게시 금지</x:v>
      </x:c>
      <x:c r="M114" s="56" t="str">
        <x:v>P0</x:v>
      </x:c>
      <x:c r="N114" s="61" t="str"/>
      <x:c r="O114" s="61" t="str">
        <x:v>https://www.passportindex.org/passport/south-korea/</x:v>
      </x:c>
      <x:c r="P114" s="62"/>
      <x:c r="Q114" s="56" t="str">
        <x:f>IF(P114="","미검증",IF(TODAY()-P114&lt;=90,"최신",IF(TODAY()-P114&lt;=180,"갱신 예정","갱신 필요")))</x:f>
        <x:v>미검증</x:v>
      </x:c>
      <x:c r="R114" s="58" t="str"/>
    </x:row>
    <x:row r="115">
      <x:c r="A115" s="56" t="str">
        <x:v>아프리카/중동</x:v>
      </x:c>
      <x:c r="B115" s="56" t="str">
        <x:v>사우디아라비아</x:v>
      </x:c>
      <x:c r="C115" s="56" t="str">
        <x:v>X</x:v>
      </x:c>
      <x:c r="D115" s="58" t="str">
        <x:v>외교관여권 소지자 : 협정 관용여권 소지자 : 협정</x:v>
      </x:c>
      <x:c r="E115" s="56" t="str">
        <x:v>전자 또는 도착비자 필요</x:v>
      </x:c>
      <x:c r="F115" s="59" t="str">
        <x:v>전자비자/도착비자</x:v>
      </x:c>
      <x:c r="G115" s="56" t="str">
        <x:v>선택 가능</x:v>
      </x:c>
      <x:c r="H115" s="58" t="str">
        <x:v>최대 90일</x:v>
      </x:c>
      <x:c r="I115" s="58" t="str">
        <x:v>일반 확인</x:v>
      </x:c>
      <x:c r="J115" s="58" t="str">
        <x:v>준비물·현장 절차 안내</x:v>
      </x:c>
      <x:c r="K115" s="60" t="str">
        <x:v>보조자료 분류·공식 확인 필요</x:v>
      </x:c>
      <x:c r="L115" s="56" t="str">
        <x:f>IF(K115="공식 확인 완료","게시 가능","게시 금지")</x:f>
        <x:v>게시 금지</x:v>
      </x:c>
      <x:c r="M115" s="56" t="str">
        <x:v>P1</x:v>
      </x:c>
      <x:c r="N115" s="61" t="str"/>
      <x:c r="O115" s="61" t="str">
        <x:v>https://www.passportindex.org/passport/south-korea/</x:v>
      </x:c>
      <x:c r="P115" s="62"/>
      <x:c r="Q115" s="56" t="str">
        <x:f>IF(P115="","미검증",IF(TODAY()-P115&lt;=90,"최신",IF(TODAY()-P115&lt;=180,"갱신 예정","갱신 필요")))</x:f>
        <x:v>미검증</x:v>
      </x:c>
      <x:c r="R115" s="58" t="str"/>
    </x:row>
    <x:row r="116">
      <x:c r="A116" s="56" t="str">
        <x:v>아프리카/중동</x:v>
      </x:c>
      <x:c r="B116" s="56" t="str">
        <x:v>세네갈</x:v>
      </x:c>
      <x:c r="C116" s="56" t="str">
        <x:v>90일</x:v>
      </x:c>
      <x:c r="D116" s="58" t="str">
        <x:v>외교관여권 소지자 : 일방 관용여권 소지자 : 일방 일반여권 소지자 : 일방</x:v>
      </x:c>
      <x:c r="E116" s="56" t="str">
        <x:v>비자 불필요</x:v>
      </x:c>
      <x:c r="F116" s="59" t="str">
        <x:v>무사증</x:v>
      </x:c>
      <x:c r="G116" s="56" t="str">
        <x:v>아니오</x:v>
      </x:c>
      <x:c r="H116" s="58" t="str">
        <x:v>90일</x:v>
      </x:c>
      <x:c r="I116" s="58" t="str">
        <x:v>일반 확인</x:v>
      </x:c>
      <x:c r="J116" s="58" t="str">
        <x:v>입국 조건 안내</x:v>
      </x:c>
      <x:c r="K116" s="60" t="str">
        <x:v>외교부 기준·갱신 확인 필요</x:v>
      </x:c>
      <x:c r="L116" s="56" t="str">
        <x:f>IF(K116="공식 확인 완료","게시 가능","게시 금지")</x:f>
        <x:v>게시 금지</x:v>
      </x:c>
      <x:c r="M116" s="56" t="str">
        <x:v>P2</x:v>
      </x:c>
      <x:c r="N116" s="61" t="str"/>
      <x:c r="O116" s="61" t="str">
        <x:v>https://www.passportindex.org/passport/south-korea/</x:v>
      </x:c>
      <x:c r="P116" s="62"/>
      <x:c r="Q116" s="56" t="str">
        <x:f>IF(P116="","미검증",IF(TODAY()-P116&lt;=90,"최신",IF(TODAY()-P116&lt;=180,"갱신 예정","갱신 필요")))</x:f>
        <x:v>미검증</x:v>
      </x:c>
      <x:c r="R116" s="58" t="str"/>
    </x:row>
    <x:row r="117">
      <x:c r="A117" s="56" t="str">
        <x:v>아프리카/중동</x:v>
      </x:c>
      <x:c r="B117" s="56" t="str">
        <x:v>세이셸</x:v>
      </x:c>
      <x:c r="C117" s="56" t="str">
        <x:v>30일</x:v>
      </x:c>
      <x:c r="D117" s="58" t="str">
        <x:v>외교관여권 소지자 : 일방 관용여권 소지자 : 일방 일반여권 소지자 : 일방</x:v>
      </x:c>
      <x:c r="E117" s="56" t="str">
        <x:v>비자 불필요·등록 필요</x:v>
      </x:c>
      <x:c r="F117" s="59" t="str">
        <x:v>무사증+입국등록</x:v>
      </x:c>
      <x:c r="G117" s="56" t="str">
        <x:v>예</x:v>
      </x:c>
      <x:c r="H117" s="58" t="str">
        <x:v>30일</x:v>
      </x:c>
      <x:c r="I117" s="58" t="str">
        <x:v>일반 확인</x:v>
      </x:c>
      <x:c r="J117" s="58" t="str">
        <x:v>신청서 작성 보조</x:v>
      </x:c>
      <x:c r="K117" s="60" t="str">
        <x:v>보조자료 분류·공식 확인 필요</x:v>
      </x:c>
      <x:c r="L117" s="56" t="str">
        <x:f>IF(K117="공식 확인 완료","게시 가능","게시 금지")</x:f>
        <x:v>게시 금지</x:v>
      </x:c>
      <x:c r="M117" s="56" t="str">
        <x:v>P1</x:v>
      </x:c>
      <x:c r="N117" s="61" t="str"/>
      <x:c r="O117" s="61" t="str">
        <x:v>https://www.passportindex.org/passport/south-korea/</x:v>
      </x:c>
      <x:c r="P117" s="62"/>
      <x:c r="Q117" s="56" t="str">
        <x:f>IF(P117="","미검증",IF(TODAY()-P117&lt;=90,"최신",IF(TODAY()-P117&lt;=180,"갱신 예정","갱신 필요")))</x:f>
        <x:v>미검증</x:v>
      </x:c>
      <x:c r="R117" s="58" t="str">
        <x:v>여행자 등록 필요</x:v>
      </x:c>
    </x:row>
    <x:row r="118">
      <x:c r="A118" s="56" t="str">
        <x:v>아프리카/중동</x:v>
      </x:c>
      <x:c r="B118" s="56" t="str">
        <x:v>소말리아</x:v>
      </x:c>
      <x:c r="C118" s="56" t="str">
        <x:v>X</x:v>
      </x:c>
      <x:c r="D118" s="58" t="str"/>
      <x:c r="E118" s="56" t="str">
        <x:v>사전 비자 필요</x:v>
      </x:c>
      <x:c r="F118" s="59" t="str">
        <x:v>전자비자(eVisa)</x:v>
      </x:c>
      <x:c r="G118" s="56" t="str">
        <x:v>예</x:v>
      </x:c>
      <x:c r="H118" s="58" t="str"/>
      <x:c r="I118" s="58" t="str">
        <x:v>여권 사용 제한 대상</x:v>
      </x:c>
      <x:c r="J118" s="58" t="str">
        <x:v>신청서 작성 보조</x:v>
      </x:c>
      <x:c r="K118" s="60" t="str">
        <x:v>보조자료 분류·공식 확인 필요</x:v>
      </x:c>
      <x:c r="L118" s="56" t="str">
        <x:f>IF(K118="공식 확인 완료","게시 가능","게시 금지")</x:f>
        <x:v>게시 금지</x:v>
      </x:c>
      <x:c r="M118" s="56" t="str">
        <x:v>P0</x:v>
      </x:c>
      <x:c r="N118" s="61" t="str"/>
      <x:c r="O118" s="61" t="str">
        <x:v>https://www.passportindex.org/passport/south-korea/</x:v>
      </x:c>
      <x:c r="P118" s="62"/>
      <x:c r="Q118" s="56" t="str">
        <x:f>IF(P118="","미검증",IF(TODAY()-P118&lt;=90,"최신",IF(TODAY()-P118&lt;=180,"갱신 예정","갱신 필요")))</x:f>
        <x:v>미검증</x:v>
      </x:c>
      <x:c r="R118" s="58" t="str">
        <x:v>대한민국 여권 사용 제한 여부 우선 확인</x:v>
      </x:c>
    </x:row>
    <x:row r="119">
      <x:c r="A119" s="56" t="str">
        <x:v>아프리카/중동</x:v>
      </x:c>
      <x:c r="B119" s="56" t="str">
        <x:v>수단</x:v>
      </x:c>
      <x:c r="C119" s="56" t="str">
        <x:v>X</x:v>
      </x:c>
      <x:c r="D119" s="58" t="str"/>
      <x:c r="E119" s="56" t="str">
        <x:v>사전 비자 필요</x:v>
      </x:c>
      <x:c r="F119" s="59" t="str">
        <x:v>대사관·영사관 사전비자</x:v>
      </x:c>
      <x:c r="G119" s="56" t="str">
        <x:v>예</x:v>
      </x:c>
      <x:c r="H119" s="58" t="str"/>
      <x:c r="I119" s="58" t="str">
        <x:v>여권 사용 제한 대상</x:v>
      </x:c>
      <x:c r="J119" s="58" t="str">
        <x:v>신청서 작성 보조</x:v>
      </x:c>
      <x:c r="K119" s="60" t="str">
        <x:v>보조자료 분류·공식 확인 필요</x:v>
      </x:c>
      <x:c r="L119" s="56" t="str">
        <x:f>IF(K119="공식 확인 완료","게시 가능","게시 금지")</x:f>
        <x:v>게시 금지</x:v>
      </x:c>
      <x:c r="M119" s="56" t="str">
        <x:v>P0</x:v>
      </x:c>
      <x:c r="N119" s="61" t="str"/>
      <x:c r="O119" s="61" t="str">
        <x:v>https://www.passportindex.org/passport/south-korea/</x:v>
      </x:c>
      <x:c r="P119" s="62"/>
      <x:c r="Q119" s="56" t="str">
        <x:f>IF(P119="","미검증",IF(TODAY()-P119&lt;=90,"최신",IF(TODAY()-P119&lt;=180,"갱신 예정","갱신 필요")))</x:f>
        <x:v>미검증</x:v>
      </x:c>
      <x:c r="R119" s="58" t="str">
        <x:v>대한민국 여권 사용 제한 여부 우선 확인</x:v>
      </x:c>
    </x:row>
    <x:row r="120">
      <x:c r="A120" s="56" t="str">
        <x:v>아프리카/중동</x:v>
      </x:c>
      <x:c r="B120" s="56" t="str">
        <x:v>시리아</x:v>
      </x:c>
      <x:c r="C120" s="56" t="str">
        <x:v>X</x:v>
      </x:c>
      <x:c r="D120" s="58" t="str"/>
      <x:c r="E120" s="56" t="str">
        <x:v>사전 비자 필요</x:v>
      </x:c>
      <x:c r="F120" s="59" t="str">
        <x:v>전자비자(eVisa)</x:v>
      </x:c>
      <x:c r="G120" s="56" t="str">
        <x:v>예</x:v>
      </x:c>
      <x:c r="H120" s="58" t="str"/>
      <x:c r="I120" s="58" t="str">
        <x:v>일반 확인</x:v>
      </x:c>
      <x:c r="J120" s="58" t="str">
        <x:v>신청서 작성 보조</x:v>
      </x:c>
      <x:c r="K120" s="60" t="str">
        <x:v>보조자료 분류·공식 확인 필요</x:v>
      </x:c>
      <x:c r="L120" s="56" t="str">
        <x:f>IF(K120="공식 확인 완료","게시 가능","게시 금지")</x:f>
        <x:v>게시 금지</x:v>
      </x:c>
      <x:c r="M120" s="56" t="str">
        <x:v>P0</x:v>
      </x:c>
      <x:c r="N120" s="61" t="str"/>
      <x:c r="O120" s="61" t="str">
        <x:v>https://www.passportindex.org/passport/south-korea/</x:v>
      </x:c>
      <x:c r="P120" s="62"/>
      <x:c r="Q120" s="56" t="str">
        <x:f>IF(P120="","미검증",IF(TODAY()-P120&lt;=90,"최신",IF(TODAY()-P120&lt;=180,"갱신 예정","갱신 필요")))</x:f>
        <x:v>미검증</x:v>
      </x:c>
      <x:c r="R120" s="58" t="str">
        <x:v>대한민국 여권 사용 제한 여부 우선 확인</x:v>
      </x:c>
    </x:row>
    <x:row r="121">
      <x:c r="A121" s="56" t="str">
        <x:v>아프리카/중동</x:v>
      </x:c>
      <x:c r="B121" s="56" t="str">
        <x:v>시에라리온</x:v>
      </x:c>
      <x:c r="C121" s="56" t="str">
        <x:v>X</x:v>
      </x:c>
      <x:c r="D121" s="58" t="str"/>
      <x:c r="E121" s="56" t="str">
        <x:v>전자 또는 도착비자 필요</x:v>
      </x:c>
      <x:c r="F121" s="59" t="str">
        <x:v>전자비자/도착비자</x:v>
      </x:c>
      <x:c r="G121" s="56" t="str">
        <x:v>선택 가능</x:v>
      </x:c>
      <x:c r="H121" s="58" t="str">
        <x:v>최대 30일</x:v>
      </x:c>
      <x:c r="I121" s="58" t="str">
        <x:v>일반 확인</x:v>
      </x:c>
      <x:c r="J121" s="58" t="str">
        <x:v>준비물·현장 절차 안내</x:v>
      </x:c>
      <x:c r="K121" s="60" t="str">
        <x:v>보조자료 분류·공식 확인 필요</x:v>
      </x:c>
      <x:c r="L121" s="56" t="str">
        <x:f>IF(K121="공식 확인 완료","게시 가능","게시 금지")</x:f>
        <x:v>게시 금지</x:v>
      </x:c>
      <x:c r="M121" s="56" t="str">
        <x:v>P1</x:v>
      </x:c>
      <x:c r="N121" s="61" t="str"/>
      <x:c r="O121" s="61" t="str">
        <x:v>https://www.passportindex.org/passport/south-korea/</x:v>
      </x:c>
      <x:c r="P121" s="62"/>
      <x:c r="Q121" s="56" t="str">
        <x:f>IF(P121="","미검증",IF(TODAY()-P121&lt;=90,"최신",IF(TODAY()-P121&lt;=180,"갱신 예정","갱신 필요")))</x:f>
        <x:v>미검증</x:v>
      </x:c>
      <x:c r="R121" s="58" t="str"/>
    </x:row>
    <x:row r="122">
      <x:c r="A122" s="56" t="str">
        <x:v>아프리카/중동</x:v>
      </x:c>
      <x:c r="B122" s="56" t="str">
        <x:v>아랍에미리트</x:v>
      </x:c>
      <x:c r="C122" s="56" t="str">
        <x:v>90일</x:v>
      </x:c>
      <x:c r="D122" s="58" t="str">
        <x:v>외교관여권 소지자 : 일방 관용여권 소지자 : 일방 일반여권 소지자 : 일방</x:v>
      </x:c>
      <x:c r="E122" s="56" t="str">
        <x:v>비자 불필요</x:v>
      </x:c>
      <x:c r="F122" s="59" t="str">
        <x:v>무사증</x:v>
      </x:c>
      <x:c r="G122" s="56" t="str">
        <x:v>아니오</x:v>
      </x:c>
      <x:c r="H122" s="58" t="str">
        <x:v>90일</x:v>
      </x:c>
      <x:c r="I122" s="58" t="str">
        <x:v>일반 확인</x:v>
      </x:c>
      <x:c r="J122" s="58" t="str">
        <x:v>입국 조건 안내</x:v>
      </x:c>
      <x:c r="K122" s="60" t="str">
        <x:v>외교부 기준·갱신 확인 필요</x:v>
      </x:c>
      <x:c r="L122" s="56" t="str">
        <x:f>IF(K122="공식 확인 완료","게시 가능","게시 금지")</x:f>
        <x:v>게시 금지</x:v>
      </x:c>
      <x:c r="M122" s="56" t="str">
        <x:v>P2</x:v>
      </x:c>
      <x:c r="N122" s="61" t="str"/>
      <x:c r="O122" s="61" t="str">
        <x:v>https://www.passportindex.org/passport/south-korea/</x:v>
      </x:c>
      <x:c r="P122" s="62"/>
      <x:c r="Q122" s="56" t="str">
        <x:f>IF(P122="","미검증",IF(TODAY()-P122&lt;=90,"최신",IF(TODAY()-P122&lt;=180,"갱신 예정","갱신 필요")))</x:f>
        <x:v>미검증</x:v>
      </x:c>
      <x:c r="R122" s="58" t="str"/>
    </x:row>
    <x:row r="123">
      <x:c r="A123" s="56" t="str">
        <x:v>아프리카/중동</x:v>
      </x:c>
      <x:c r="B123" s="56" t="str">
        <x:v>알제리</x:v>
      </x:c>
      <x:c r="C123" s="56" t="str">
        <x:v>X</x:v>
      </x:c>
      <x:c r="D123" s="58" t="str">
        <x:v>외교관여권 소지자 : 협정 관용여권 소지자 : 협정</x:v>
      </x:c>
      <x:c r="E123" s="56" t="str">
        <x:v>사전 비자 필요</x:v>
      </x:c>
      <x:c r="F123" s="59" t="str">
        <x:v>대사관·영사관 사전비자</x:v>
      </x:c>
      <x:c r="G123" s="56" t="str">
        <x:v>예</x:v>
      </x:c>
      <x:c r="H123" s="58" t="str"/>
      <x:c r="I123" s="58" t="str">
        <x:v>일반 확인</x:v>
      </x:c>
      <x:c r="J123" s="58" t="str">
        <x:v>신청서 작성 보조</x:v>
      </x:c>
      <x:c r="K123" s="60" t="str">
        <x:v>보조자료 분류·공식 확인 필요</x:v>
      </x:c>
      <x:c r="L123" s="56" t="str">
        <x:f>IF(K123="공식 확인 완료","게시 가능","게시 금지")</x:f>
        <x:v>게시 금지</x:v>
      </x:c>
      <x:c r="M123" s="56" t="str">
        <x:v>P0</x:v>
      </x:c>
      <x:c r="N123" s="61" t="str"/>
      <x:c r="O123" s="61" t="str">
        <x:v>https://www.passportindex.org/passport/south-korea/</x:v>
      </x:c>
      <x:c r="P123" s="62"/>
      <x:c r="Q123" s="56" t="str">
        <x:f>IF(P123="","미검증",IF(TODAY()-P123&lt;=90,"최신",IF(TODAY()-P123&lt;=180,"갱신 예정","갱신 필요")))</x:f>
        <x:v>미검증</x:v>
      </x:c>
      <x:c r="R123" s="58" t="str"/>
    </x:row>
    <x:row r="124">
      <x:c r="A124" s="56" t="str">
        <x:v>아프리카/중동</x:v>
      </x:c>
      <x:c r="B124" s="56" t="str">
        <x:v>앙골라</x:v>
      </x:c>
      <x:c r="C124" s="56" t="str">
        <x:v>30일</x:v>
      </x:c>
      <x:c r="D124" s="58" t="str">
        <x:v>외교관여권 소지자 : 협정 관용여권 소지자 : 협정 일반여권 소지자 : 일방</x:v>
      </x:c>
      <x:c r="E124" s="56" t="str">
        <x:v>비자 불필요</x:v>
      </x:c>
      <x:c r="F124" s="59" t="str">
        <x:v>무사증</x:v>
      </x:c>
      <x:c r="G124" s="56" t="str">
        <x:v>아니오</x:v>
      </x:c>
      <x:c r="H124" s="58" t="str">
        <x:v>30일</x:v>
      </x:c>
      <x:c r="I124" s="58" t="str">
        <x:v>일반 확인</x:v>
      </x:c>
      <x:c r="J124" s="58" t="str">
        <x:v>입국 조건 안내</x:v>
      </x:c>
      <x:c r="K124" s="60" t="str">
        <x:v>외교부 기준·갱신 확인 필요</x:v>
      </x:c>
      <x:c r="L124" s="56" t="str">
        <x:f>IF(K124="공식 확인 완료","게시 가능","게시 금지")</x:f>
        <x:v>게시 금지</x:v>
      </x:c>
      <x:c r="M124" s="56" t="str">
        <x:v>P2</x:v>
      </x:c>
      <x:c r="N124" s="61" t="str"/>
      <x:c r="O124" s="61" t="str">
        <x:v>https://www.passportindex.org/passport/south-korea/</x:v>
      </x:c>
      <x:c r="P124" s="62"/>
      <x:c r="Q124" s="56" t="str">
        <x:f>IF(P124="","미검증",IF(TODAY()-P124&lt;=90,"최신",IF(TODAY()-P124&lt;=180,"갱신 예정","갱신 필요")))</x:f>
        <x:v>미검증</x:v>
      </x:c>
      <x:c r="R124" s="58" t="str"/>
    </x:row>
    <x:row r="125">
      <x:c r="A125" s="56" t="str">
        <x:v>아프리카/중동</x:v>
      </x:c>
      <x:c r="B125" s="56" t="str">
        <x:v>에리트레아</x:v>
      </x:c>
      <x:c r="C125" s="56" t="str">
        <x:v>X</x:v>
      </x:c>
      <x:c r="D125" s="58" t="str"/>
      <x:c r="E125" s="56" t="str">
        <x:v>사전 비자 필요</x:v>
      </x:c>
      <x:c r="F125" s="59" t="str">
        <x:v>대사관·영사관 사전비자</x:v>
      </x:c>
      <x:c r="G125" s="56" t="str">
        <x:v>예</x:v>
      </x:c>
      <x:c r="H125" s="58" t="str"/>
      <x:c r="I125" s="58" t="str">
        <x:v>일반 확인</x:v>
      </x:c>
      <x:c r="J125" s="58" t="str">
        <x:v>신청서 작성 보조</x:v>
      </x:c>
      <x:c r="K125" s="60" t="str">
        <x:v>보조자료 분류·공식 확인 필요</x:v>
      </x:c>
      <x:c r="L125" s="56" t="str">
        <x:f>IF(K125="공식 확인 완료","게시 가능","게시 금지")</x:f>
        <x:v>게시 금지</x:v>
      </x:c>
      <x:c r="M125" s="56" t="str">
        <x:v>P0</x:v>
      </x:c>
      <x:c r="N125" s="61" t="str"/>
      <x:c r="O125" s="61" t="str">
        <x:v>https://www.passportindex.org/passport/south-korea/</x:v>
      </x:c>
      <x:c r="P125" s="62"/>
      <x:c r="Q125" s="56" t="str">
        <x:f>IF(P125="","미검증",IF(TODAY()-P125&lt;=90,"최신",IF(TODAY()-P125&lt;=180,"갱신 예정","갱신 필요")))</x:f>
        <x:v>미검증</x:v>
      </x:c>
      <x:c r="R125" s="58" t="str"/>
    </x:row>
    <x:row r="126">
      <x:c r="A126" s="56" t="str">
        <x:v>아프리카/중동</x:v>
      </x:c>
      <x:c r="B126" s="56" t="str">
        <x:v>에스와티니 (스와질랜드)</x:v>
      </x:c>
      <x:c r="C126" s="56" t="str">
        <x:v>60일 무사증 30일, 입국 후 추가 연장 30일 가능</x:v>
      </x:c>
      <x:c r="D126" s="58" t="str">
        <x:v>외교관여권 소지자 : 상호주의 관용여권 소지자 : 상호주의 일반여권 소지자 : 상호주의</x:v>
      </x:c>
      <x:c r="E126" s="56" t="str">
        <x:v>비자 불필요</x:v>
      </x:c>
      <x:c r="F126" s="59" t="str">
        <x:v>무사증</x:v>
      </x:c>
      <x:c r="G126" s="56" t="str">
        <x:v>아니오</x:v>
      </x:c>
      <x:c r="H126" s="58" t="str">
        <x:v>60일 무사증 30일, 입국 후 추가 연장 30일 가능</x:v>
      </x:c>
      <x:c r="I126" s="58" t="str">
        <x:v>일반 확인</x:v>
      </x:c>
      <x:c r="J126" s="58" t="str">
        <x:v>입국 조건 안내</x:v>
      </x:c>
      <x:c r="K126" s="60" t="str">
        <x:v>외교부 기준·갱신 확인 필요</x:v>
      </x:c>
      <x:c r="L126" s="56" t="str">
        <x:f>IF(K126="공식 확인 완료","게시 가능","게시 금지")</x:f>
        <x:v>게시 금지</x:v>
      </x:c>
      <x:c r="M126" s="56" t="str">
        <x:v>P2</x:v>
      </x:c>
      <x:c r="N126" s="61" t="str"/>
      <x:c r="O126" s="61" t="str">
        <x:v>https://www.passportindex.org/passport/south-korea/</x:v>
      </x:c>
      <x:c r="P126" s="62"/>
      <x:c r="Q126" s="56" t="str">
        <x:f>IF(P126="","미검증",IF(TODAY()-P126&lt;=90,"최신",IF(TODAY()-P126&lt;=180,"갱신 예정","갱신 필요")))</x:f>
        <x:v>미검증</x:v>
      </x:c>
      <x:c r="R126" s="58" t="str"/>
    </x:row>
    <x:row r="127">
      <x:c r="A127" s="56" t="str">
        <x:v>아프리카/중동</x:v>
      </x:c>
      <x:c r="B127" s="56" t="str">
        <x:v>에티오피아</x:v>
      </x:c>
      <x:c r="C127" s="56" t="str">
        <x:v>X</x:v>
      </x:c>
      <x:c r="D127" s="58" t="str"/>
      <x:c r="E127" s="56" t="str">
        <x:v>전자 또는 도착비자 필요</x:v>
      </x:c>
      <x:c r="F127" s="59" t="str">
        <x:v>전자비자/도착비자</x:v>
      </x:c>
      <x:c r="G127" s="56" t="str">
        <x:v>선택 가능</x:v>
      </x:c>
      <x:c r="H127" s="58" t="str">
        <x:v>최대 90일</x:v>
      </x:c>
      <x:c r="I127" s="58" t="str">
        <x:v>일반 확인</x:v>
      </x:c>
      <x:c r="J127" s="58" t="str">
        <x:v>준비물·현장 절차 안내</x:v>
      </x:c>
      <x:c r="K127" s="60" t="str">
        <x:v>보조자료 분류·공식 확인 필요</x:v>
      </x:c>
      <x:c r="L127" s="56" t="str">
        <x:f>IF(K127="공식 확인 완료","게시 가능","게시 금지")</x:f>
        <x:v>게시 금지</x:v>
      </x:c>
      <x:c r="M127" s="56" t="str">
        <x:v>P1</x:v>
      </x:c>
      <x:c r="N127" s="61" t="str"/>
      <x:c r="O127" s="61" t="str">
        <x:v>https://www.passportindex.org/passport/south-korea/</x:v>
      </x:c>
      <x:c r="P127" s="62"/>
      <x:c r="Q127" s="56" t="str">
        <x:f>IF(P127="","미검증",IF(TODAY()-P127&lt;=90,"최신",IF(TODAY()-P127&lt;=180,"갱신 예정","갱신 필요")))</x:f>
        <x:v>미검증</x:v>
      </x:c>
      <x:c r="R127" s="58" t="str"/>
    </x:row>
    <x:row r="128">
      <x:c r="A128" s="56" t="str">
        <x:v>아프리카/중동</x:v>
      </x:c>
      <x:c r="B128" s="56" t="str">
        <x:v>예멘</x:v>
      </x:c>
      <x:c r="C128" s="56" t="str">
        <x:v>X</x:v>
      </x:c>
      <x:c r="D128" s="58" t="str"/>
      <x:c r="E128" s="56" t="str">
        <x:v>사전 비자 필요</x:v>
      </x:c>
      <x:c r="F128" s="59" t="str">
        <x:v>대사관·영사관 사전비자</x:v>
      </x:c>
      <x:c r="G128" s="56" t="str">
        <x:v>예</x:v>
      </x:c>
      <x:c r="H128" s="58" t="str"/>
      <x:c r="I128" s="58" t="str">
        <x:v>여권 사용 제한 대상</x:v>
      </x:c>
      <x:c r="J128" s="58" t="str">
        <x:v>신청서 작성 보조</x:v>
      </x:c>
      <x:c r="K128" s="60" t="str">
        <x:v>보조자료 분류·공식 확인 필요</x:v>
      </x:c>
      <x:c r="L128" s="56" t="str">
        <x:f>IF(K128="공식 확인 완료","게시 가능","게시 금지")</x:f>
        <x:v>게시 금지</x:v>
      </x:c>
      <x:c r="M128" s="56" t="str">
        <x:v>P0</x:v>
      </x:c>
      <x:c r="N128" s="61" t="str"/>
      <x:c r="O128" s="61" t="str">
        <x:v>https://www.passportindex.org/passport/south-korea/</x:v>
      </x:c>
      <x:c r="P128" s="62"/>
      <x:c r="Q128" s="56" t="str">
        <x:f>IF(P128="","미검증",IF(TODAY()-P128&lt;=90,"최신",IF(TODAY()-P128&lt;=180,"갱신 예정","갱신 필요")))</x:f>
        <x:v>미검증</x:v>
      </x:c>
      <x:c r="R128" s="58" t="str">
        <x:v>대한민국 여권 사용 제한 여부 우선 확인</x:v>
      </x:c>
    </x:row>
    <x:row r="129">
      <x:c r="A129" s="56" t="str">
        <x:v>아프리카/중동</x:v>
      </x:c>
      <x:c r="B129" s="56" t="str">
        <x:v>오만</x:v>
      </x:c>
      <x:c r="C129" s="56" t="str">
        <x:v>30일</x:v>
      </x:c>
      <x:c r="D129" s="58" t="str">
        <x:v>외교관여권 소지자 : 협정 관용여권 소지자 : 협정 일반여권 소지자 : 상호주의</x:v>
      </x:c>
      <x:c r="E129" s="56" t="str">
        <x:v>전자 또는 도착비자 필요</x:v>
      </x:c>
      <x:c r="F129" s="59" t="str">
        <x:v>전자비자/도착비자</x:v>
      </x:c>
      <x:c r="G129" s="56" t="str">
        <x:v>선택 가능</x:v>
      </x:c>
      <x:c r="H129" s="58" t="str">
        <x:v>최대 30일</x:v>
      </x:c>
      <x:c r="I129" s="58" t="str">
        <x:v>일반 확인</x:v>
      </x:c>
      <x:c r="J129" s="58" t="str">
        <x:v>준비물·현장 절차 안내</x:v>
      </x:c>
      <x:c r="K129" s="60" t="str">
        <x:v>보조자료 분류·공식 확인 필요</x:v>
      </x:c>
      <x:c r="L129" s="56" t="str">
        <x:f>IF(K129="공식 확인 완료","게시 가능","게시 금지")</x:f>
        <x:v>게시 금지</x:v>
      </x:c>
      <x:c r="M129" s="56" t="str">
        <x:v>P1</x:v>
      </x:c>
      <x:c r="N129" s="61" t="str"/>
      <x:c r="O129" s="61" t="str">
        <x:v>https://www.passportindex.org/passport/south-korea/</x:v>
      </x:c>
      <x:c r="P129" s="62"/>
      <x:c r="Q129" s="56" t="str">
        <x:f>IF(P129="","미검증",IF(TODAY()-P129&lt;=90,"최신",IF(TODAY()-P129&lt;=180,"갱신 예정","갱신 필요")))</x:f>
        <x:v>미검증</x:v>
      </x:c>
      <x:c r="R129" s="58" t="str"/>
    </x:row>
    <x:row r="130">
      <x:c r="A130" s="56" t="str">
        <x:v>아프리카/중동</x:v>
      </x:c>
      <x:c r="B130" s="56" t="str">
        <x:v>요르단</x:v>
      </x:c>
      <x:c r="C130" s="56" t="str">
        <x:v>X</x:v>
      </x:c>
      <x:c r="D130" s="58" t="str">
        <x:v>외교관여권 소지자 : 협정</x:v>
      </x:c>
      <x:c r="E130" s="56" t="str">
        <x:v>전자 또는 도착비자 필요</x:v>
      </x:c>
      <x:c r="F130" s="59" t="str">
        <x:v>전자비자/도착비자</x:v>
      </x:c>
      <x:c r="G130" s="56" t="str">
        <x:v>선택 가능</x:v>
      </x:c>
      <x:c r="H130" s="58" t="str">
        <x:v>최대 30일</x:v>
      </x:c>
      <x:c r="I130" s="58" t="str">
        <x:v>일반 확인</x:v>
      </x:c>
      <x:c r="J130" s="58" t="str">
        <x:v>준비물·현장 절차 안내</x:v>
      </x:c>
      <x:c r="K130" s="60" t="str">
        <x:v>보조자료 분류·공식 확인 필요</x:v>
      </x:c>
      <x:c r="L130" s="56" t="str">
        <x:f>IF(K130="공식 확인 완료","게시 가능","게시 금지")</x:f>
        <x:v>게시 금지</x:v>
      </x:c>
      <x:c r="M130" s="56" t="str">
        <x:v>P1</x:v>
      </x:c>
      <x:c r="N130" s="61" t="str"/>
      <x:c r="O130" s="61" t="str">
        <x:v>https://www.passportindex.org/passport/south-korea/</x:v>
      </x:c>
      <x:c r="P130" s="62"/>
      <x:c r="Q130" s="56" t="str">
        <x:f>IF(P130="","미검증",IF(TODAY()-P130&lt;=90,"최신",IF(TODAY()-P130&lt;=180,"갱신 예정","갱신 필요")))</x:f>
        <x:v>미검증</x:v>
      </x:c>
      <x:c r="R130" s="58" t="str"/>
    </x:row>
    <x:row r="131">
      <x:c r="A131" s="56" t="str">
        <x:v>아프리카/중동</x:v>
      </x:c>
      <x:c r="B131" s="56" t="str">
        <x:v>우간다</x:v>
      </x:c>
      <x:c r="C131" s="56" t="str">
        <x:v>X</x:v>
      </x:c>
      <x:c r="D131" s="58" t="str"/>
      <x:c r="E131" s="56" t="str">
        <x:v>사전 비자 필요</x:v>
      </x:c>
      <x:c r="F131" s="59" t="str">
        <x:v>전자비자(eVisa)</x:v>
      </x:c>
      <x:c r="G131" s="56" t="str">
        <x:v>예</x:v>
      </x:c>
      <x:c r="H131" s="58" t="str"/>
      <x:c r="I131" s="58" t="str">
        <x:v>일반 확인</x:v>
      </x:c>
      <x:c r="J131" s="58" t="str">
        <x:v>신청서 작성 보조</x:v>
      </x:c>
      <x:c r="K131" s="60" t="str">
        <x:v>보조자료 분류·공식 확인 필요</x:v>
      </x:c>
      <x:c r="L131" s="56" t="str">
        <x:f>IF(K131="공식 확인 완료","게시 가능","게시 금지")</x:f>
        <x:v>게시 금지</x:v>
      </x:c>
      <x:c r="M131" s="56" t="str">
        <x:v>P0</x:v>
      </x:c>
      <x:c r="N131" s="61" t="str"/>
      <x:c r="O131" s="61" t="str">
        <x:v>https://www.passportindex.org/passport/south-korea/</x:v>
      </x:c>
      <x:c r="P131" s="62"/>
      <x:c r="Q131" s="56" t="str">
        <x:f>IF(P131="","미검증",IF(TODAY()-P131&lt;=90,"최신",IF(TODAY()-P131&lt;=180,"갱신 예정","갱신 필요")))</x:f>
        <x:v>미검증</x:v>
      </x:c>
      <x:c r="R131" s="58" t="str"/>
    </x:row>
    <x:row r="132">
      <x:c r="A132" s="56" t="str">
        <x:v>아프리카/중동</x:v>
      </x:c>
      <x:c r="B132" s="56" t="str">
        <x:v>이라크</x:v>
      </x:c>
      <x:c r="C132" s="56" t="str">
        <x:v>6개월 이상</x:v>
      </x:c>
      <x:c r="D132" s="58" t="str">
        <x:v>외교관여권 소지자 : 관용여권 소지자 : 일반여권 소지자 :</x:v>
      </x:c>
      <x:c r="E132" s="56" t="str">
        <x:v>사전 비자 필요</x:v>
      </x:c>
      <x:c r="F132" s="59" t="str">
        <x:v>전자비자(eVisa)</x:v>
      </x:c>
      <x:c r="G132" s="56" t="str">
        <x:v>예</x:v>
      </x:c>
      <x:c r="H132" s="58" t="str">
        <x:v>6개월 이상</x:v>
      </x:c>
      <x:c r="I132" s="58" t="str">
        <x:v>여권 사용 제한 대상</x:v>
      </x:c>
      <x:c r="J132" s="58" t="str">
        <x:v>신청서 작성 보조</x:v>
      </x:c>
      <x:c r="K132" s="60" t="str">
        <x:v>보조자료 분류·공식 확인 필요</x:v>
      </x:c>
      <x:c r="L132" s="56" t="str">
        <x:f>IF(K132="공식 확인 완료","게시 가능","게시 금지")</x:f>
        <x:v>게시 금지</x:v>
      </x:c>
      <x:c r="M132" s="56" t="str">
        <x:v>P0</x:v>
      </x:c>
      <x:c r="N132" s="61" t="str"/>
      <x:c r="O132" s="61" t="str">
        <x:v>https://www.passportindex.org/passport/south-korea/</x:v>
      </x:c>
      <x:c r="P132" s="62"/>
      <x:c r="Q132" s="56" t="str">
        <x:f>IF(P132="","미검증",IF(TODAY()-P132&lt;=90,"최신",IF(TODAY()-P132&lt;=180,"갱신 예정","갱신 필요")))</x:f>
        <x:v>미검증</x:v>
      </x:c>
      <x:c r="R132" s="58" t="str">
        <x:v>대한민국 여권 사용 제한 여부 우선 확인</x:v>
      </x:c>
    </x:row>
    <x:row r="133">
      <x:c r="A133" s="56" t="str">
        <x:v>아프리카/중동</x:v>
      </x:c>
      <x:c r="B133" s="56" t="str">
        <x:v>이라크 (쿠르드지역)</x:v>
      </x:c>
      <x:c r="C133" s="56" t="str">
        <x:v>X</x:v>
      </x:c>
      <x:c r="D133" s="58" t="str"/>
      <x:c r="E133" s="56" t="str">
        <x:v>사전 비자 필요</x:v>
      </x:c>
      <x:c r="F133" s="59" t="str">
        <x:v>전자비자(eVisa)</x:v>
      </x:c>
      <x:c r="G133" s="56" t="str">
        <x:v>예</x:v>
      </x:c>
      <x:c r="H133" s="58" t="str"/>
      <x:c r="I133" s="58" t="str">
        <x:v>여권 사용 제한 대상</x:v>
      </x:c>
      <x:c r="J133" s="58" t="str">
        <x:v>신청서 작성 보조</x:v>
      </x:c>
      <x:c r="K133" s="60" t="str">
        <x:v>보조자료 분류·공식 확인 필요</x:v>
      </x:c>
      <x:c r="L133" s="56" t="str">
        <x:f>IF(K133="공식 확인 완료","게시 가능","게시 금지")</x:f>
        <x:v>게시 금지</x:v>
      </x:c>
      <x:c r="M133" s="56" t="str">
        <x:v>P0</x:v>
      </x:c>
      <x:c r="N133" s="61" t="str"/>
      <x:c r="O133" s="61" t="str">
        <x:v>https://www.passportindex.org/passport/south-korea/</x:v>
      </x:c>
      <x:c r="P133" s="62"/>
      <x:c r="Q133" s="56" t="str">
        <x:f>IF(P133="","미검증",IF(TODAY()-P133&lt;=90,"최신",IF(TODAY()-P133&lt;=180,"갱신 예정","갱신 필요")))</x:f>
        <x:v>미검증</x:v>
      </x:c>
      <x:c r="R133" s="58" t="str">
        <x:v>대한민국 여권 사용 제한 여부 우선 확인</x:v>
      </x:c>
    </x:row>
    <x:row r="134">
      <x:c r="A134" s="56" t="str">
        <x:v>아프리카/중동</x:v>
      </x:c>
      <x:c r="B134" s="56" t="str">
        <x:v>이란</x:v>
      </x:c>
      <x:c r="C134" s="56" t="str">
        <x:v>X</x:v>
      </x:c>
      <x:c r="D134" s="58" t="str">
        <x:v>외교관여권 소지자 : 협정 관용여권 소지자 : 협정</x:v>
      </x:c>
      <x:c r="E134" s="56" t="str">
        <x:v>사전 비자 필요</x:v>
      </x:c>
      <x:c r="F134" s="59" t="str">
        <x:v>전자비자(eVisa)</x:v>
      </x:c>
      <x:c r="G134" s="56" t="str">
        <x:v>예</x:v>
      </x:c>
      <x:c r="H134" s="58" t="str"/>
      <x:c r="I134" s="58" t="str">
        <x:v>일반 확인</x:v>
      </x:c>
      <x:c r="J134" s="58" t="str">
        <x:v>신청서 작성 보조</x:v>
      </x:c>
      <x:c r="K134" s="60" t="str">
        <x:v>보조자료 분류·공식 확인 필요</x:v>
      </x:c>
      <x:c r="L134" s="56" t="str">
        <x:f>IF(K134="공식 확인 완료","게시 가능","게시 금지")</x:f>
        <x:v>게시 금지</x:v>
      </x:c>
      <x:c r="M134" s="56" t="str">
        <x:v>P0</x:v>
      </x:c>
      <x:c r="N134" s="61" t="str"/>
      <x:c r="O134" s="61" t="str">
        <x:v>https://www.passportindex.org/passport/south-korea/</x:v>
      </x:c>
      <x:c r="P134" s="62"/>
      <x:c r="Q134" s="56" t="str">
        <x:f>IF(P134="","미검증",IF(TODAY()-P134&lt;=90,"최신",IF(TODAY()-P134&lt;=180,"갱신 예정","갱신 필요")))</x:f>
        <x:v>미검증</x:v>
      </x:c>
      <x:c r="R134" s="58" t="str"/>
    </x:row>
    <x:row r="135">
      <x:c r="A135" s="56" t="str">
        <x:v>아프리카/중동</x:v>
      </x:c>
      <x:c r="B135" s="56" t="str">
        <x:v>이스라엘</x:v>
      </x:c>
      <x:c r="C135" s="56" t="str">
        <x:v>90일</x:v>
      </x:c>
      <x:c r="D135" s="58" t="str">
        <x:v>외교관여권 소지자 : 협정 관용여권 소지자 : 협정 일반여권 소지자 : 협정</x:v>
      </x:c>
      <x:c r="E135" s="56" t="str">
        <x:v>비자는 아니나 사전허가 필요</x:v>
      </x:c>
      <x:c r="F135" s="59" t="str">
        <x:v>전자여행허가(ETA)</x:v>
      </x:c>
      <x:c r="G135" s="56" t="str">
        <x:v>예</x:v>
      </x:c>
      <x:c r="H135" s="58" t="str">
        <x:v>최대 90일</x:v>
      </x:c>
      <x:c r="I135" s="58" t="str">
        <x:v>일반 확인</x:v>
      </x:c>
      <x:c r="J135" s="58" t="str">
        <x:v>신청서 작성 보조</x:v>
      </x:c>
      <x:c r="K135" s="60" t="str">
        <x:v>공식 확인 완료</x:v>
      </x:c>
      <x:c r="L135" s="56" t="str">
        <x:f>IF(K135="공식 확인 완료","게시 가능","게시 금지")</x:f>
        <x:v>게시 가능</x:v>
      </x:c>
      <x:c r="M135" s="56" t="str">
        <x:v>P2</x:v>
      </x:c>
      <x:c r="N135" s="61" t="str">
        <x:v>https://embassies.gov.il/seoul/en/services/foreign-citizens/application-eta-il-approval</x:v>
      </x:c>
      <x:c r="O135" s="61" t="str"/>
      <x:c r="P135" s="62" t="n">
        <x:v>46258</x:v>
      </x:c>
      <x:c r="Q135" s="56" t="str">
        <x:f>IF(P135="","미검증",IF(TODAY()-P135&lt;=90,"최신",IF(TODAY()-P135&lt;=180,"갱신 예정","갱신 필요")))</x:f>
        <x:v>최신</x:v>
      </x:c>
      <x:c r="R135" s="58" t="str">
        <x:v>ETA-IL 필요</x:v>
      </x:c>
    </x:row>
    <x:row r="136">
      <x:c r="A136" s="56" t="str">
        <x:v>아프리카/중동</x:v>
      </x:c>
      <x:c r="B136" s="56" t="str">
        <x:v>이집트</x:v>
      </x:c>
      <x:c r="C136" s="56" t="str">
        <x:v>X</x:v>
      </x:c>
      <x:c r="D136" s="58" t="str">
        <x:v>외교관여권 소지자 : 협정 관용여권 소지자 : 협정</x:v>
      </x:c>
      <x:c r="E136" s="56" t="str">
        <x:v>전자 또는 도착비자 필요</x:v>
      </x:c>
      <x:c r="F136" s="59" t="str">
        <x:v>전자비자/도착비자</x:v>
      </x:c>
      <x:c r="G136" s="56" t="str">
        <x:v>선택 가능</x:v>
      </x:c>
      <x:c r="H136" s="58" t="str">
        <x:v>최대 30일</x:v>
      </x:c>
      <x:c r="I136" s="58" t="str">
        <x:v>일반 확인</x:v>
      </x:c>
      <x:c r="J136" s="58" t="str">
        <x:v>준비물·현장 절차 안내</x:v>
      </x:c>
      <x:c r="K136" s="60" t="str">
        <x:v>보조자료 분류·공식 확인 필요</x:v>
      </x:c>
      <x:c r="L136" s="56" t="str">
        <x:f>IF(K136="공식 확인 완료","게시 가능","게시 금지")</x:f>
        <x:v>게시 금지</x:v>
      </x:c>
      <x:c r="M136" s="56" t="str">
        <x:v>P1</x:v>
      </x:c>
      <x:c r="N136" s="61" t="str"/>
      <x:c r="O136" s="61" t="str">
        <x:v>https://www.passportindex.org/passport/south-korea/</x:v>
      </x:c>
      <x:c r="P136" s="62"/>
      <x:c r="Q136" s="56" t="str">
        <x:f>IF(P136="","미검증",IF(TODAY()-P136&lt;=90,"최신",IF(TODAY()-P136&lt;=180,"갱신 예정","갱신 필요")))</x:f>
        <x:v>미검증</x:v>
      </x:c>
      <x:c r="R136" s="58" t="str">
        <x:v>시나이 지역 예외 조건 별도 확인</x:v>
      </x:c>
    </x:row>
    <x:row r="137">
      <x:c r="A137" s="56" t="str">
        <x:v>아프리카/중동</x:v>
      </x:c>
      <x:c r="B137" s="56" t="str">
        <x:v>잠비아</x:v>
      </x:c>
      <x:c r="C137" s="56" t="str">
        <x:v>30일</x:v>
      </x:c>
      <x:c r="D137" s="58" t="str">
        <x:v>외교관여권 소지자 : 일방적 면제 관용여권 소지자 : 일방적 면제 일반여권 소지자 : 일방적 면제</x:v>
      </x:c>
      <x:c r="E137" s="56" t="str">
        <x:v>비자 불필요</x:v>
      </x:c>
      <x:c r="F137" s="59" t="str">
        <x:v>무사증</x:v>
      </x:c>
      <x:c r="G137" s="56" t="str">
        <x:v>아니오</x:v>
      </x:c>
      <x:c r="H137" s="58" t="str">
        <x:v>30일</x:v>
      </x:c>
      <x:c r="I137" s="58" t="str">
        <x:v>일반 확인</x:v>
      </x:c>
      <x:c r="J137" s="58" t="str">
        <x:v>입국 조건 안내</x:v>
      </x:c>
      <x:c r="K137" s="60" t="str">
        <x:v>외교부 기준·갱신 확인 필요</x:v>
      </x:c>
      <x:c r="L137" s="56" t="str">
        <x:f>IF(K137="공식 확인 완료","게시 가능","게시 금지")</x:f>
        <x:v>게시 금지</x:v>
      </x:c>
      <x:c r="M137" s="56" t="str">
        <x:v>P2</x:v>
      </x:c>
      <x:c r="N137" s="61" t="str"/>
      <x:c r="O137" s="61" t="str">
        <x:v>https://www.passportindex.org/passport/south-korea/</x:v>
      </x:c>
      <x:c r="P137" s="62"/>
      <x:c r="Q137" s="56" t="str">
        <x:f>IF(P137="","미검증",IF(TODAY()-P137&lt;=90,"최신",IF(TODAY()-P137&lt;=180,"갱신 예정","갱신 필요")))</x:f>
        <x:v>미검증</x:v>
      </x:c>
      <x:c r="R137" s="58" t="str"/>
    </x:row>
    <x:row r="138">
      <x:c r="A138" s="56" t="str">
        <x:v>아프리카/중동</x:v>
      </x:c>
      <x:c r="B138" s="56" t="str">
        <x:v>적도기니</x:v>
      </x:c>
      <x:c r="C138" s="56" t="str">
        <x:v>X</x:v>
      </x:c>
      <x:c r="D138" s="58" t="str">
        <x:v>외교관여권 소지자 : 협정 관용여권 소지자 : 협정</x:v>
      </x:c>
      <x:c r="E138" s="56" t="str">
        <x:v>사전 비자 필요</x:v>
      </x:c>
      <x:c r="F138" s="59" t="str">
        <x:v>전자비자(eVisa)</x:v>
      </x:c>
      <x:c r="G138" s="56" t="str">
        <x:v>예</x:v>
      </x:c>
      <x:c r="H138" s="58" t="str"/>
      <x:c r="I138" s="58" t="str">
        <x:v>일반 확인</x:v>
      </x:c>
      <x:c r="J138" s="58" t="str">
        <x:v>신청서 작성 보조</x:v>
      </x:c>
      <x:c r="K138" s="60" t="str">
        <x:v>보조자료 분류·공식 확인 필요</x:v>
      </x:c>
      <x:c r="L138" s="56" t="str">
        <x:f>IF(K138="공식 확인 완료","게시 가능","게시 금지")</x:f>
        <x:v>게시 금지</x:v>
      </x:c>
      <x:c r="M138" s="56" t="str">
        <x:v>P0</x:v>
      </x:c>
      <x:c r="N138" s="61" t="str"/>
      <x:c r="O138" s="61" t="str">
        <x:v>https://www.passportindex.org/passport/south-korea/</x:v>
      </x:c>
      <x:c r="P138" s="62"/>
      <x:c r="Q138" s="56" t="str">
        <x:f>IF(P138="","미검증",IF(TODAY()-P138&lt;=90,"최신",IF(TODAY()-P138&lt;=180,"갱신 예정","갱신 필요")))</x:f>
        <x:v>미검증</x:v>
      </x:c>
      <x:c r="R138" s="58" t="str"/>
    </x:row>
    <x:row r="139">
      <x:c r="A139" s="56" t="str">
        <x:v>아프리카/중동</x:v>
      </x:c>
      <x:c r="B139" s="56" t="str">
        <x:v>중앙아프리카공화국</x:v>
      </x:c>
      <x:c r="C139" s="56" t="str">
        <x:v>X</x:v>
      </x:c>
      <x:c r="D139" s="58" t="str"/>
      <x:c r="E139" s="56" t="str">
        <x:v>사전 비자 필요</x:v>
      </x:c>
      <x:c r="F139" s="59" t="str">
        <x:v>대사관·영사관 사전비자</x:v>
      </x:c>
      <x:c r="G139" s="56" t="str">
        <x:v>예</x:v>
      </x:c>
      <x:c r="H139" s="58" t="str"/>
      <x:c r="I139" s="58" t="str">
        <x:v>일반 확인</x:v>
      </x:c>
      <x:c r="J139" s="58" t="str">
        <x:v>신청서 작성 보조</x:v>
      </x:c>
      <x:c r="K139" s="60" t="str">
        <x:v>보조자료 분류·공식 확인 필요</x:v>
      </x:c>
      <x:c r="L139" s="56" t="str">
        <x:f>IF(K139="공식 확인 완료","게시 가능","게시 금지")</x:f>
        <x:v>게시 금지</x:v>
      </x:c>
      <x:c r="M139" s="56" t="str">
        <x:v>P0</x:v>
      </x:c>
      <x:c r="N139" s="61" t="str"/>
      <x:c r="O139" s="61" t="str">
        <x:v>https://www.passportindex.org/passport/south-korea/</x:v>
      </x:c>
      <x:c r="P139" s="62"/>
      <x:c r="Q139" s="56" t="str">
        <x:f>IF(P139="","미검증",IF(TODAY()-P139&lt;=90,"최신",IF(TODAY()-P139&lt;=180,"갱신 예정","갱신 필요")))</x:f>
        <x:v>미검증</x:v>
      </x:c>
      <x:c r="R139" s="58" t="str"/>
    </x:row>
    <x:row r="140">
      <x:c r="A140" s="56" t="str">
        <x:v>아프리카/중동</x:v>
      </x:c>
      <x:c r="B140" s="56" t="str">
        <x:v>지부티</x:v>
      </x:c>
      <x:c r="C140" s="56" t="str">
        <x:v>X</x:v>
      </x:c>
      <x:c r="D140" s="58" t="str"/>
      <x:c r="E140" s="56" t="str">
        <x:v>전자 또는 도착비자 필요</x:v>
      </x:c>
      <x:c r="F140" s="59" t="str">
        <x:v>전자비자/도착비자</x:v>
      </x:c>
      <x:c r="G140" s="56" t="str">
        <x:v>선택 가능</x:v>
      </x:c>
      <x:c r="H140" s="58" t="str">
        <x:v>최대 90일</x:v>
      </x:c>
      <x:c r="I140" s="58" t="str">
        <x:v>일반 확인</x:v>
      </x:c>
      <x:c r="J140" s="58" t="str">
        <x:v>준비물·현장 절차 안내</x:v>
      </x:c>
      <x:c r="K140" s="60" t="str">
        <x:v>보조자료 분류·공식 확인 필요</x:v>
      </x:c>
      <x:c r="L140" s="56" t="str">
        <x:f>IF(K140="공식 확인 완료","게시 가능","게시 금지")</x:f>
        <x:v>게시 금지</x:v>
      </x:c>
      <x:c r="M140" s="56" t="str">
        <x:v>P1</x:v>
      </x:c>
      <x:c r="N140" s="61" t="str"/>
      <x:c r="O140" s="61" t="str">
        <x:v>https://www.passportindex.org/passport/south-korea/</x:v>
      </x:c>
      <x:c r="P140" s="62"/>
      <x:c r="Q140" s="56" t="str">
        <x:f>IF(P140="","미검증",IF(TODAY()-P140&lt;=90,"최신",IF(TODAY()-P140&lt;=180,"갱신 예정","갱신 필요")))</x:f>
        <x:v>미검증</x:v>
      </x:c>
      <x:c r="R140" s="58" t="str"/>
    </x:row>
    <x:row r="141">
      <x:c r="A141" s="56" t="str">
        <x:v>아프리카/중동</x:v>
      </x:c>
      <x:c r="B141" s="56" t="str">
        <x:v>짐바브웨</x:v>
      </x:c>
      <x:c r="C141" s="56" t="str">
        <x:v>X</x:v>
      </x:c>
      <x:c r="D141" s="58" t="str"/>
      <x:c r="E141" s="56" t="str">
        <x:v>전자 또는 도착비자 필요</x:v>
      </x:c>
      <x:c r="F141" s="59" t="str">
        <x:v>전자비자/도착비자</x:v>
      </x:c>
      <x:c r="G141" s="56" t="str">
        <x:v>선택 가능</x:v>
      </x:c>
      <x:c r="H141" s="58" t="str">
        <x:v>최대 90일</x:v>
      </x:c>
      <x:c r="I141" s="58" t="str">
        <x:v>일반 확인</x:v>
      </x:c>
      <x:c r="J141" s="58" t="str">
        <x:v>준비물·현장 절차 안내</x:v>
      </x:c>
      <x:c r="K141" s="60" t="str">
        <x:v>보조자료 분류·공식 확인 필요</x:v>
      </x:c>
      <x:c r="L141" s="56" t="str">
        <x:f>IF(K141="공식 확인 완료","게시 가능","게시 금지")</x:f>
        <x:v>게시 금지</x:v>
      </x:c>
      <x:c r="M141" s="56" t="str">
        <x:v>P1</x:v>
      </x:c>
      <x:c r="N141" s="61" t="str"/>
      <x:c r="O141" s="61" t="str">
        <x:v>https://www.passportindex.org/passport/south-korea/</x:v>
      </x:c>
      <x:c r="P141" s="62"/>
      <x:c r="Q141" s="56" t="str">
        <x:f>IF(P141="","미검증",IF(TODAY()-P141&lt;=90,"최신",IF(TODAY()-P141&lt;=180,"갱신 예정","갱신 필요")))</x:f>
        <x:v>미검증</x:v>
      </x:c>
      <x:c r="R141" s="58" t="str"/>
    </x:row>
    <x:row r="142">
      <x:c r="A142" s="56" t="str">
        <x:v>아프리카/중동</x:v>
      </x:c>
      <x:c r="B142" s="56" t="str">
        <x:v>차드</x:v>
      </x:c>
      <x:c r="C142" s="56" t="str">
        <x:v>X</x:v>
      </x:c>
      <x:c r="D142" s="58" t="str"/>
      <x:c r="E142" s="56" t="str">
        <x:v>사전 비자 필요</x:v>
      </x:c>
      <x:c r="F142" s="59" t="str">
        <x:v>전자비자(eVisa)</x:v>
      </x:c>
      <x:c r="G142" s="56" t="str">
        <x:v>예</x:v>
      </x:c>
      <x:c r="H142" s="58" t="str"/>
      <x:c r="I142" s="58" t="str">
        <x:v>일반 확인</x:v>
      </x:c>
      <x:c r="J142" s="58" t="str">
        <x:v>신청서 작성 보조</x:v>
      </x:c>
      <x:c r="K142" s="60" t="str">
        <x:v>보조자료 분류·공식 확인 필요</x:v>
      </x:c>
      <x:c r="L142" s="56" t="str">
        <x:f>IF(K142="공식 확인 완료","게시 가능","게시 금지")</x:f>
        <x:v>게시 금지</x:v>
      </x:c>
      <x:c r="M142" s="56" t="str">
        <x:v>P0</x:v>
      </x:c>
      <x:c r="N142" s="61" t="str"/>
      <x:c r="O142" s="61" t="str">
        <x:v>https://www.passportindex.org/passport/south-korea/</x:v>
      </x:c>
      <x:c r="P142" s="62"/>
      <x:c r="Q142" s="56" t="str">
        <x:f>IF(P142="","미검증",IF(TODAY()-P142&lt;=90,"최신",IF(TODAY()-P142&lt;=180,"갱신 예정","갱신 필요")))</x:f>
        <x:v>미검증</x:v>
      </x:c>
      <x:c r="R142" s="58" t="str"/>
    </x:row>
    <x:row r="143">
      <x:c r="A143" s="56" t="str">
        <x:v>아프리카/중동</x:v>
      </x:c>
      <x:c r="B143" s="56" t="str">
        <x:v>카메룬</x:v>
      </x:c>
      <x:c r="C143" s="56" t="str">
        <x:v>X</x:v>
      </x:c>
      <x:c r="D143" s="58" t="str">
        <x:v>외교관여권 소지자 : 협정 관용여권 소지자 : 협정</x:v>
      </x:c>
      <x:c r="E143" s="56" t="str">
        <x:v>사전 비자 필요</x:v>
      </x:c>
      <x:c r="F143" s="59" t="str">
        <x:v>전자비자(eVisa)</x:v>
      </x:c>
      <x:c r="G143" s="56" t="str">
        <x:v>예</x:v>
      </x:c>
      <x:c r="H143" s="58" t="str"/>
      <x:c r="I143" s="58" t="str">
        <x:v>일반 확인</x:v>
      </x:c>
      <x:c r="J143" s="58" t="str">
        <x:v>신청서 작성 보조</x:v>
      </x:c>
      <x:c r="K143" s="60" t="str">
        <x:v>보조자료 분류·공식 확인 필요</x:v>
      </x:c>
      <x:c r="L143" s="56" t="str">
        <x:f>IF(K143="공식 확인 완료","게시 가능","게시 금지")</x:f>
        <x:v>게시 금지</x:v>
      </x:c>
      <x:c r="M143" s="56" t="str">
        <x:v>P0</x:v>
      </x:c>
      <x:c r="N143" s="61" t="str"/>
      <x:c r="O143" s="61" t="str">
        <x:v>https://www.passportindex.org/passport/south-korea/</x:v>
      </x:c>
      <x:c r="P143" s="62"/>
      <x:c r="Q143" s="56" t="str">
        <x:f>IF(P143="","미검증",IF(TODAY()-P143&lt;=90,"최신",IF(TODAY()-P143&lt;=180,"갱신 예정","갱신 필요")))</x:f>
        <x:v>미검증</x:v>
      </x:c>
      <x:c r="R143" s="58" t="str"/>
    </x:row>
    <x:row r="144">
      <x:c r="A144" s="56" t="str">
        <x:v>아프리카/중동</x:v>
      </x:c>
      <x:c r="B144" s="56" t="str">
        <x:v>카보베르데</x:v>
      </x:c>
      <x:c r="C144" s="56" t="str">
        <x:v>X</x:v>
      </x:c>
      <x:c r="D144" s="58" t="str">
        <x:v>외교관여권 소지자 : 협정 관용여권 소지자 : 협정</x:v>
      </x:c>
      <x:c r="E144" s="56" t="str">
        <x:v>도착 후 비자/허가</x:v>
      </x:c>
      <x:c r="F144" s="59" t="str">
        <x:v>도착비자</x:v>
      </x:c>
      <x:c r="G144" s="56" t="str">
        <x:v>아니오</x:v>
      </x:c>
      <x:c r="H144" s="58" t="str"/>
      <x:c r="I144" s="58" t="str">
        <x:v>일반 확인</x:v>
      </x:c>
      <x:c r="J144" s="58" t="str">
        <x:v>준비물·현장 절차 안내</x:v>
      </x:c>
      <x:c r="K144" s="60" t="str">
        <x:v>보조자료 분류·공식 확인 필요</x:v>
      </x:c>
      <x:c r="L144" s="56" t="str">
        <x:f>IF(K144="공식 확인 완료","게시 가능","게시 금지")</x:f>
        <x:v>게시 금지</x:v>
      </x:c>
      <x:c r="M144" s="56" t="str">
        <x:v>P1</x:v>
      </x:c>
      <x:c r="N144" s="61" t="str"/>
      <x:c r="O144" s="61" t="str">
        <x:v>https://www.passportindex.org/passport/south-korea/</x:v>
      </x:c>
      <x:c r="P144" s="62"/>
      <x:c r="Q144" s="56" t="str">
        <x:f>IF(P144="","미검증",IF(TODAY()-P144&lt;=90,"최신",IF(TODAY()-P144&lt;=180,"갱신 예정","갱신 필요")))</x:f>
        <x:v>미검증</x:v>
      </x:c>
      <x:c r="R144" s="58" t="str">
        <x:v>EASE 사전등록 가능 여부 확인</x:v>
      </x:c>
    </x:row>
    <x:row r="145">
      <x:c r="A145" s="56" t="str">
        <x:v>아프리카/중동</x:v>
      </x:c>
      <x:c r="B145" s="56" t="str">
        <x:v>카타르</x:v>
      </x:c>
      <x:c r="C145" s="56" t="str">
        <x:v>90일</x:v>
      </x:c>
      <x:c r="D145" s="58" t="str"/>
      <x:c r="E145" s="56" t="str">
        <x:v>전자 또는 도착비자 필요</x:v>
      </x:c>
      <x:c r="F145" s="59" t="str">
        <x:v>전자비자/도착비자</x:v>
      </x:c>
      <x:c r="G145" s="56" t="str">
        <x:v>선택 가능</x:v>
      </x:c>
      <x:c r="H145" s="58" t="str">
        <x:v>최대 30일</x:v>
      </x:c>
      <x:c r="I145" s="58" t="str">
        <x:v>일반 확인</x:v>
      </x:c>
      <x:c r="J145" s="58" t="str">
        <x:v>준비물·현장 절차 안내</x:v>
      </x:c>
      <x:c r="K145" s="60" t="str">
        <x:v>보조자료 분류·공식 확인 필요</x:v>
      </x:c>
      <x:c r="L145" s="56" t="str">
        <x:f>IF(K145="공식 확인 완료","게시 가능","게시 금지")</x:f>
        <x:v>게시 금지</x:v>
      </x:c>
      <x:c r="M145" s="56" t="str">
        <x:v>P1</x:v>
      </x:c>
      <x:c r="N145" s="61" t="str"/>
      <x:c r="O145" s="61" t="str">
        <x:v>https://www.passportindex.org/passport/south-korea/</x:v>
      </x:c>
      <x:c r="P145" s="62"/>
      <x:c r="Q145" s="56" t="str">
        <x:f>IF(P145="","미검증",IF(TODAY()-P145&lt;=90,"최신",IF(TODAY()-P145&lt;=180,"갱신 예정","갱신 필요")))</x:f>
        <x:v>미검증</x:v>
      </x:c>
      <x:c r="R145" s="58" t="str"/>
    </x:row>
    <x:row r="146">
      <x:c r="A146" s="56" t="str">
        <x:v>아프리카/중동</x:v>
      </x:c>
      <x:c r="B146" s="56" t="str">
        <x:v>케냐</x:v>
      </x:c>
      <x:c r="C146" s="56" t="str">
        <x:v>X</x:v>
      </x:c>
      <x:c r="D146" s="58" t="str"/>
      <x:c r="E146" s="56" t="str">
        <x:v>비자는 아니나 사전허가 필요</x:v>
      </x:c>
      <x:c r="F146" s="59" t="str">
        <x:v>전자여행허가(ETA)</x:v>
      </x:c>
      <x:c r="G146" s="56" t="str">
        <x:v>예</x:v>
      </x:c>
      <x:c r="H146" s="58" t="str">
        <x:v>최대 90일</x:v>
      </x:c>
      <x:c r="I146" s="58" t="str">
        <x:v>일반 확인</x:v>
      </x:c>
      <x:c r="J146" s="58" t="str">
        <x:v>신청서 작성 보조</x:v>
      </x:c>
      <x:c r="K146" s="60" t="str">
        <x:v>보조자료 분류·공식 확인 필요</x:v>
      </x:c>
      <x:c r="L146" s="56" t="str">
        <x:f>IF(K146="공식 확인 완료","게시 가능","게시 금지")</x:f>
        <x:v>게시 금지</x:v>
      </x:c>
      <x:c r="M146" s="56" t="str">
        <x:v>P0</x:v>
      </x:c>
      <x:c r="N146" s="61" t="str"/>
      <x:c r="O146" s="61" t="str">
        <x:v>https://www.passportindex.org/passport/south-korea/</x:v>
      </x:c>
      <x:c r="P146" s="62"/>
      <x:c r="Q146" s="56" t="str">
        <x:f>IF(P146="","미검증",IF(TODAY()-P146&lt;=90,"최신",IF(TODAY()-P146&lt;=180,"갱신 예정","갱신 필요")))</x:f>
        <x:v>미검증</x:v>
      </x:c>
      <x:c r="R146" s="58" t="str"/>
    </x:row>
    <x:row r="147">
      <x:c r="A147" s="56" t="str">
        <x:v>아프리카/중동</x:v>
      </x:c>
      <x:c r="B147" s="56" t="str">
        <x:v>코모로</x:v>
      </x:c>
      <x:c r="C147" s="56" t="str">
        <x:v>X</x:v>
      </x:c>
      <x:c r="D147" s="58" t="str"/>
      <x:c r="E147" s="56" t="str">
        <x:v>도착 후 비자/허가</x:v>
      </x:c>
      <x:c r="F147" s="59" t="str">
        <x:v>도착비자</x:v>
      </x:c>
      <x:c r="G147" s="56" t="str">
        <x:v>아니오</x:v>
      </x:c>
      <x:c r="H147" s="58" t="str">
        <x:v>최대 45일</x:v>
      </x:c>
      <x:c r="I147" s="58" t="str">
        <x:v>일반 확인</x:v>
      </x:c>
      <x:c r="J147" s="58" t="str">
        <x:v>준비물·현장 절차 안내</x:v>
      </x:c>
      <x:c r="K147" s="60" t="str">
        <x:v>보조자료 분류·공식 확인 필요</x:v>
      </x:c>
      <x:c r="L147" s="56" t="str">
        <x:f>IF(K147="공식 확인 완료","게시 가능","게시 금지")</x:f>
        <x:v>게시 금지</x:v>
      </x:c>
      <x:c r="M147" s="56" t="str">
        <x:v>P1</x:v>
      </x:c>
      <x:c r="N147" s="61" t="str"/>
      <x:c r="O147" s="61" t="str">
        <x:v>https://www.passportindex.org/passport/south-korea/</x:v>
      </x:c>
      <x:c r="P147" s="62"/>
      <x:c r="Q147" s="56" t="str">
        <x:f>IF(P147="","미검증",IF(TODAY()-P147&lt;=90,"최신",IF(TODAY()-P147&lt;=180,"갱신 예정","갱신 필요")))</x:f>
        <x:v>미검증</x:v>
      </x:c>
      <x:c r="R147" s="58" t="str"/>
    </x:row>
    <x:row r="148">
      <x:c r="A148" s="56" t="str">
        <x:v>아프리카/중동</x:v>
      </x:c>
      <x:c r="B148" s="56" t="str">
        <x:v>코트디부아르</x:v>
      </x:c>
      <x:c r="C148" s="56" t="str">
        <x:v>X</x:v>
      </x:c>
      <x:c r="D148" s="58" t="str"/>
      <x:c r="E148" s="56" t="str">
        <x:v>사전 비자 필요</x:v>
      </x:c>
      <x:c r="F148" s="59" t="str">
        <x:v>전자비자(eVisa)</x:v>
      </x:c>
      <x:c r="G148" s="56" t="str">
        <x:v>예</x:v>
      </x:c>
      <x:c r="H148" s="58" t="str">
        <x:v>최대 90일</x:v>
      </x:c>
      <x:c r="I148" s="58" t="str">
        <x:v>일반 확인</x:v>
      </x:c>
      <x:c r="J148" s="58" t="str">
        <x:v>신청서 작성 보조</x:v>
      </x:c>
      <x:c r="K148" s="60" t="str">
        <x:v>보조자료 분류·공식 확인 필요</x:v>
      </x:c>
      <x:c r="L148" s="56" t="str">
        <x:f>IF(K148="공식 확인 완료","게시 가능","게시 금지")</x:f>
        <x:v>게시 금지</x:v>
      </x:c>
      <x:c r="M148" s="56" t="str">
        <x:v>P0</x:v>
      </x:c>
      <x:c r="N148" s="61" t="str"/>
      <x:c r="O148" s="61" t="str">
        <x:v>https://www.passportindex.org/passport/south-korea/</x:v>
      </x:c>
      <x:c r="P148" s="62"/>
      <x:c r="Q148" s="56" t="str">
        <x:f>IF(P148="","미검증",IF(TODAY()-P148&lt;=90,"최신",IF(TODAY()-P148&lt;=180,"갱신 예정","갱신 필요")))</x:f>
        <x:v>미검증</x:v>
      </x:c>
      <x:c r="R148" s="58" t="str">
        <x:v>사전등록 후 공항 발급 절차 확인</x:v>
      </x:c>
    </x:row>
    <x:row r="149">
      <x:c r="A149" s="56" t="str">
        <x:v>아프리카/중동</x:v>
      </x:c>
      <x:c r="B149" s="56" t="str">
        <x:v>콩고공화국</x:v>
      </x:c>
      <x:c r="C149" s="56" t="str">
        <x:v>X</x:v>
      </x:c>
      <x:c r="D149" s="58" t="str"/>
      <x:c r="E149" s="56" t="str">
        <x:v>사전 비자 필요</x:v>
      </x:c>
      <x:c r="F149" s="59" t="str">
        <x:v>대사관·영사관 사전비자</x:v>
      </x:c>
      <x:c r="G149" s="56" t="str">
        <x:v>예</x:v>
      </x:c>
      <x:c r="H149" s="58" t="str"/>
      <x:c r="I149" s="58" t="str">
        <x:v>일반 확인</x:v>
      </x:c>
      <x:c r="J149" s="58" t="str">
        <x:v>신청서 작성 보조</x:v>
      </x:c>
      <x:c r="K149" s="60" t="str">
        <x:v>보조자료 분류·공식 확인 필요</x:v>
      </x:c>
      <x:c r="L149" s="56" t="str">
        <x:f>IF(K149="공식 확인 완료","게시 가능","게시 금지")</x:f>
        <x:v>게시 금지</x:v>
      </x:c>
      <x:c r="M149" s="56" t="str">
        <x:v>P0</x:v>
      </x:c>
      <x:c r="N149" s="61" t="str"/>
      <x:c r="O149" s="61" t="str">
        <x:v>https://www.passportindex.org/passport/south-korea/</x:v>
      </x:c>
      <x:c r="P149" s="62"/>
      <x:c r="Q149" s="56" t="str">
        <x:f>IF(P149="","미검증",IF(TODAY()-P149&lt;=90,"최신",IF(TODAY()-P149&lt;=180,"갱신 예정","갱신 필요")))</x:f>
        <x:v>미검증</x:v>
      </x:c>
      <x:c r="R149" s="58" t="str"/>
    </x:row>
    <x:row r="150">
      <x:c r="A150" s="56" t="str">
        <x:v>아프리카/중동</x:v>
      </x:c>
      <x:c r="B150" s="56" t="str">
        <x:v>콩고민주공화국</x:v>
      </x:c>
      <x:c r="C150" s="56" t="str">
        <x:v>X</x:v>
      </x:c>
      <x:c r="D150" s="58" t="str"/>
      <x:c r="E150" s="56" t="str">
        <x:v>사전 비자 필요</x:v>
      </x:c>
      <x:c r="F150" s="59" t="str">
        <x:v>전자비자(eVisa)</x:v>
      </x:c>
      <x:c r="G150" s="56" t="str">
        <x:v>예</x:v>
      </x:c>
      <x:c r="H150" s="58" t="str">
        <x:v>단기 허가</x:v>
      </x:c>
      <x:c r="I150" s="58" t="str">
        <x:v>일반 확인</x:v>
      </x:c>
      <x:c r="J150" s="58" t="str">
        <x:v>신청서 작성 보조</x:v>
      </x:c>
      <x:c r="K150" s="60" t="str">
        <x:v>보조자료 분류·공식 확인 필요</x:v>
      </x:c>
      <x:c r="L150" s="56" t="str">
        <x:f>IF(K150="공식 확인 완료","게시 가능","게시 금지")</x:f>
        <x:v>게시 금지</x:v>
      </x:c>
      <x:c r="M150" s="56" t="str">
        <x:v>P0</x:v>
      </x:c>
      <x:c r="N150" s="61" t="str"/>
      <x:c r="O150" s="61" t="str">
        <x:v>https://www.passportindex.org/passport/south-korea/</x:v>
      </x:c>
      <x:c r="P150" s="62"/>
      <x:c r="Q150" s="56" t="str">
        <x:f>IF(P150="","미검증",IF(TODAY()-P150&lt;=90,"최신",IF(TODAY()-P150&lt;=180,"갱신 예정","갱신 필요")))</x:f>
        <x:v>미검증</x:v>
      </x:c>
      <x:c r="R150" s="58" t="str"/>
    </x:row>
    <x:row r="151">
      <x:c r="A151" s="56" t="str">
        <x:v>아프리카/중동</x:v>
      </x:c>
      <x:c r="B151" s="56" t="str">
        <x:v>쿠웨이트</x:v>
      </x:c>
      <x:c r="C151" s="56" t="str">
        <x:v>X 관광, 친지방문 등 비영리 목적의 단기 방문시 입국전 내무부 e-visa 신청(http://evisa.moi.gov.kw)후 승인을 받으면 3개월간 체류 가능</x:v>
      </x:c>
      <x:c r="D151" s="58" t="str"/>
      <x:c r="E151" s="56" t="str">
        <x:v>전자 또는 도착비자 필요</x:v>
      </x:c>
      <x:c r="F151" s="59" t="str">
        <x:v>전자비자/도착비자</x:v>
      </x:c>
      <x:c r="G151" s="56" t="str">
        <x:v>선택 가능</x:v>
      </x:c>
      <x:c r="H151" s="58" t="str">
        <x:v>최대 90일</x:v>
      </x:c>
      <x:c r="I151" s="58" t="str">
        <x:v>일반 확인</x:v>
      </x:c>
      <x:c r="J151" s="58" t="str">
        <x:v>준비물·현장 절차 안내</x:v>
      </x:c>
      <x:c r="K151" s="60" t="str">
        <x:v>보조자료 분류·공식 확인 필요</x:v>
      </x:c>
      <x:c r="L151" s="56" t="str">
        <x:f>IF(K151="공식 확인 완료","게시 가능","게시 금지")</x:f>
        <x:v>게시 금지</x:v>
      </x:c>
      <x:c r="M151" s="56" t="str">
        <x:v>P1</x:v>
      </x:c>
      <x:c r="N151" s="61" t="str"/>
      <x:c r="O151" s="61" t="str">
        <x:v>https://www.passportindex.org/passport/south-korea/</x:v>
      </x:c>
      <x:c r="P151" s="62"/>
      <x:c r="Q151" s="56" t="str">
        <x:f>IF(P151="","미검증",IF(TODAY()-P151&lt;=90,"최신",IF(TODAY()-P151&lt;=180,"갱신 예정","갱신 필요")))</x:f>
        <x:v>미검증</x:v>
      </x:c>
      <x:c r="R151" s="58" t="str"/>
    </x:row>
    <x:row r="152">
      <x:c r="A152" s="56" t="str">
        <x:v>아프리카/중동</x:v>
      </x:c>
      <x:c r="B152" s="56" t="str">
        <x:v>탄자니아</x:v>
      </x:c>
      <x:c r="C152" s="56" t="str">
        <x:v>X</x:v>
      </x:c>
      <x:c r="D152" s="58" t="str">
        <x:v>외교관여권 소지자 : 협정 관용여권 소지자 : 협정</x:v>
      </x:c>
      <x:c r="E152" s="56" t="str">
        <x:v>전자 또는 도착비자 필요</x:v>
      </x:c>
      <x:c r="F152" s="59" t="str">
        <x:v>전자비자/도착비자</x:v>
      </x:c>
      <x:c r="G152" s="56" t="str">
        <x:v>선택 가능</x:v>
      </x:c>
      <x:c r="H152" s="58" t="str"/>
      <x:c r="I152" s="58" t="str">
        <x:v>일반 확인</x:v>
      </x:c>
      <x:c r="J152" s="58" t="str">
        <x:v>준비물·현장 절차 안내</x:v>
      </x:c>
      <x:c r="K152" s="60" t="str">
        <x:v>보조자료 분류·공식 확인 필요</x:v>
      </x:c>
      <x:c r="L152" s="56" t="str">
        <x:f>IF(K152="공식 확인 완료","게시 가능","게시 금지")</x:f>
        <x:v>게시 금지</x:v>
      </x:c>
      <x:c r="M152" s="56" t="str">
        <x:v>P1</x:v>
      </x:c>
      <x:c r="N152" s="61" t="str"/>
      <x:c r="O152" s="61" t="str">
        <x:v>https://www.passportindex.org/passport/south-korea/</x:v>
      </x:c>
      <x:c r="P152" s="62"/>
      <x:c r="Q152" s="56" t="str">
        <x:f>IF(P152="","미검증",IF(TODAY()-P152&lt;=90,"최신",IF(TODAY()-P152&lt;=180,"갱신 예정","갱신 필요")))</x:f>
        <x:v>미검증</x:v>
      </x:c>
      <x:c r="R152" s="58" t="str"/>
    </x:row>
    <x:row r="153">
      <x:c r="A153" s="56" t="str">
        <x:v>아프리카/중동</x:v>
      </x:c>
      <x:c r="B153" s="56" t="str">
        <x:v>토고</x:v>
      </x:c>
      <x:c r="C153" s="56" t="str">
        <x:v>X</x:v>
      </x:c>
      <x:c r="D153" s="58" t="str">
        <x:v>외교관여권 소지자 : 관용여권 소지자 : 일반여권 소지자 :</x:v>
      </x:c>
      <x:c r="E153" s="56" t="str">
        <x:v>사전 비자 필요</x:v>
      </x:c>
      <x:c r="F153" s="59" t="str">
        <x:v>전자비자(eVisa)</x:v>
      </x:c>
      <x:c r="G153" s="56" t="str">
        <x:v>예</x:v>
      </x:c>
      <x:c r="H153" s="58" t="str"/>
      <x:c r="I153" s="58" t="str">
        <x:v>일반 확인</x:v>
      </x:c>
      <x:c r="J153" s="58" t="str">
        <x:v>신청서 작성 보조</x:v>
      </x:c>
      <x:c r="K153" s="60" t="str">
        <x:v>보조자료 분류·공식 확인 필요</x:v>
      </x:c>
      <x:c r="L153" s="56" t="str">
        <x:f>IF(K153="공식 확인 완료","게시 가능","게시 금지")</x:f>
        <x:v>게시 금지</x:v>
      </x:c>
      <x:c r="M153" s="56" t="str">
        <x:v>P0</x:v>
      </x:c>
      <x:c r="N153" s="61" t="str"/>
      <x:c r="O153" s="61" t="str">
        <x:v>https://www.passportindex.org/passport/south-korea/</x:v>
      </x:c>
      <x:c r="P153" s="62"/>
      <x:c r="Q153" s="56" t="str">
        <x:f>IF(P153="","미검증",IF(TODAY()-P153&lt;=90,"최신",IF(TODAY()-P153&lt;=180,"갱신 예정","갱신 필요")))</x:f>
        <x:v>미검증</x:v>
      </x:c>
      <x:c r="R153" s="58" t="str"/>
    </x:row>
    <x:row r="154">
      <x:c r="A154" s="56" t="str">
        <x:v>아프리카/중동</x:v>
      </x:c>
      <x:c r="B154" s="56" t="str">
        <x:v>튀니지</x:v>
      </x:c>
      <x:c r="C154" s="56" t="str">
        <x:v>90일 상호주의 협정에는 30일</x:v>
      </x:c>
      <x:c r="D154" s="58" t="str"/>
      <x:c r="E154" s="56" t="str">
        <x:v>비자 불필요</x:v>
      </x:c>
      <x:c r="F154" s="59" t="str">
        <x:v>무사증</x:v>
      </x:c>
      <x:c r="G154" s="56" t="str">
        <x:v>아니오</x:v>
      </x:c>
      <x:c r="H154" s="58" t="str">
        <x:v>90일 상호주의 협정에는 30일</x:v>
      </x:c>
      <x:c r="I154" s="58" t="str">
        <x:v>일반 확인</x:v>
      </x:c>
      <x:c r="J154" s="58" t="str">
        <x:v>입국 조건 안내</x:v>
      </x:c>
      <x:c r="K154" s="60" t="str">
        <x:v>외교부 기준·갱신 확인 필요</x:v>
      </x:c>
      <x:c r="L154" s="56" t="str">
        <x:f>IF(K154="공식 확인 완료","게시 가능","게시 금지")</x:f>
        <x:v>게시 금지</x:v>
      </x:c>
      <x:c r="M154" s="56" t="str">
        <x:v>P2</x:v>
      </x:c>
      <x:c r="N154" s="61" t="str"/>
      <x:c r="O154" s="61" t="str">
        <x:v>https://www.passportindex.org/passport/south-korea/</x:v>
      </x:c>
      <x:c r="P154" s="62"/>
      <x:c r="Q154" s="56" t="str">
        <x:f>IF(P154="","미검증",IF(TODAY()-P154&lt;=90,"최신",IF(TODAY()-P154&lt;=180,"갱신 예정","갱신 필요")))</x:f>
        <x:v>미검증</x:v>
      </x:c>
      <x:c r="R154" s="58" t="str"/>
    </x:row>
    <x:row r="155">
      <x:c r="A155" s="56" t="str">
        <x:v>유럽</x:v>
      </x:c>
      <x:c r="B155" s="56" t="str">
        <x:v>그리스</x:v>
      </x:c>
      <x:c r="C155" s="56" t="str">
        <x:v>90일</x:v>
      </x:c>
      <x:c r="D155" s="58" t="str">
        <x:v>외교관여권 소지자 : 협정 관용여권 소지자 : 협정 일반여권 소지자 : 협정</x:v>
      </x:c>
      <x:c r="E155" s="56" t="str">
        <x:v>비자 불필요</x:v>
      </x:c>
      <x:c r="F155" s="59" t="str">
        <x:v>무사증</x:v>
      </x:c>
      <x:c r="G155" s="56" t="str">
        <x:v>아니오</x:v>
      </x:c>
      <x:c r="H155" s="58" t="str">
        <x:v>90일</x:v>
      </x:c>
      <x:c r="I155" s="58" t="str">
        <x:v>일반 확인</x:v>
      </x:c>
      <x:c r="J155" s="58" t="str">
        <x:v>입국 조건 안내</x:v>
      </x:c>
      <x:c r="K155" s="60" t="str">
        <x:v>외교부 기준·갱신 확인 필요</x:v>
      </x:c>
      <x:c r="L155" s="56" t="str">
        <x:f>IF(K155="공식 확인 완료","게시 가능","게시 금지")</x:f>
        <x:v>게시 금지</x:v>
      </x:c>
      <x:c r="M155" s="56" t="str">
        <x:v>P2</x:v>
      </x:c>
      <x:c r="N155" s="61" t="str"/>
      <x:c r="O155" s="61" t="str">
        <x:v>https://www.passportindex.org/passport/south-korea/</x:v>
      </x:c>
      <x:c r="P155" s="62"/>
      <x:c r="Q155" s="56" t="str">
        <x:f>IF(P155="","미검증",IF(TODAY()-P155&lt;=90,"최신",IF(TODAY()-P155&lt;=180,"갱신 예정","갱신 필요")))</x:f>
        <x:v>미검증</x:v>
      </x:c>
      <x:c r="R155" s="58" t="str"/>
    </x:row>
    <x:row r="156">
      <x:c r="A156" s="56" t="str">
        <x:v>유럽</x:v>
      </x:c>
      <x:c r="B156" s="56" t="str">
        <x:v>네덜란드</x:v>
      </x:c>
      <x:c r="C156" s="56" t="str">
        <x:v>90일</x:v>
      </x:c>
      <x:c r="D156" s="58" t="str">
        <x:v>외교관여권 소지자 : 협정 관용여권 소지자 : 협정 일반여권 소지자 : 협정</x:v>
      </x:c>
      <x:c r="E156" s="56" t="str">
        <x:v>비자 불필요</x:v>
      </x:c>
      <x:c r="F156" s="59" t="str">
        <x:v>무사증</x:v>
      </x:c>
      <x:c r="G156" s="56" t="str">
        <x:v>아니오</x:v>
      </x:c>
      <x:c r="H156" s="58" t="str">
        <x:v>90일</x:v>
      </x:c>
      <x:c r="I156" s="58" t="str">
        <x:v>일반 확인</x:v>
      </x:c>
      <x:c r="J156" s="58" t="str">
        <x:v>입국 조건 안내</x:v>
      </x:c>
      <x:c r="K156" s="60" t="str">
        <x:v>외교부 기준·갱신 확인 필요</x:v>
      </x:c>
      <x:c r="L156" s="56" t="str">
        <x:f>IF(K156="공식 확인 완료","게시 가능","게시 금지")</x:f>
        <x:v>게시 금지</x:v>
      </x:c>
      <x:c r="M156" s="56" t="str">
        <x:v>P2</x:v>
      </x:c>
      <x:c r="N156" s="61" t="str"/>
      <x:c r="O156" s="61" t="str">
        <x:v>https://www.passportindex.org/passport/south-korea/</x:v>
      </x:c>
      <x:c r="P156" s="62"/>
      <x:c r="Q156" s="56" t="str">
        <x:f>IF(P156="","미검증",IF(TODAY()-P156&lt;=90,"최신",IF(TODAY()-P156&lt;=180,"갱신 예정","갱신 필요")))</x:f>
        <x:v>미검증</x:v>
      </x:c>
      <x:c r="R156" s="58" t="str"/>
    </x:row>
    <x:row r="157">
      <x:c r="A157" s="56" t="str">
        <x:v>유럽</x:v>
      </x:c>
      <x:c r="B157" s="56" t="str">
        <x:v>노르웨이</x:v>
      </x:c>
      <x:c r="C157" s="56" t="str">
        <x:v>180일 중 90일</x:v>
      </x:c>
      <x:c r="D157" s="58" t="str">
        <x:v>외교관여권 소지자 : 협정 관용여권 소지자 : 협정 일반여권 소지자 : 협정</x:v>
      </x:c>
      <x:c r="E157" s="56" t="str">
        <x:v>비자 불필요</x:v>
      </x:c>
      <x:c r="F157" s="59" t="str">
        <x:v>무사증</x:v>
      </x:c>
      <x:c r="G157" s="56" t="str">
        <x:v>아니오</x:v>
      </x:c>
      <x:c r="H157" s="58" t="str">
        <x:v>180일 중 90일</x:v>
      </x:c>
      <x:c r="I157" s="58" t="str">
        <x:v>일반 확인</x:v>
      </x:c>
      <x:c r="J157" s="58" t="str">
        <x:v>입국 조건 안내</x:v>
      </x:c>
      <x:c r="K157" s="60" t="str">
        <x:v>외교부 기준·갱신 확인 필요</x:v>
      </x:c>
      <x:c r="L157" s="56" t="str">
        <x:f>IF(K157="공식 확인 완료","게시 가능","게시 금지")</x:f>
        <x:v>게시 금지</x:v>
      </x:c>
      <x:c r="M157" s="56" t="str">
        <x:v>P2</x:v>
      </x:c>
      <x:c r="N157" s="61" t="str"/>
      <x:c r="O157" s="61" t="str">
        <x:v>https://www.passportindex.org/passport/south-korea/</x:v>
      </x:c>
      <x:c r="P157" s="62"/>
      <x:c r="Q157" s="56" t="str">
        <x:f>IF(P157="","미검증",IF(TODAY()-P157&lt;=90,"최신",IF(TODAY()-P157&lt;=180,"갱신 예정","갱신 필요")))</x:f>
        <x:v>미검증</x:v>
      </x:c>
      <x:c r="R157" s="58" t="str"/>
    </x:row>
    <x:row r="158">
      <x:c r="A158" s="56" t="str">
        <x:v>유럽</x:v>
      </x:c>
      <x:c r="B158" s="56" t="str">
        <x:v>덴마크</x:v>
      </x:c>
      <x:c r="C158" s="56" t="str">
        <x:v>180일 중 90일</x:v>
      </x:c>
      <x:c r="D158" s="58" t="str"/>
      <x:c r="E158" s="56" t="str">
        <x:v>비자 불필요</x:v>
      </x:c>
      <x:c r="F158" s="59" t="str">
        <x:v>무사증</x:v>
      </x:c>
      <x:c r="G158" s="56" t="str">
        <x:v>아니오</x:v>
      </x:c>
      <x:c r="H158" s="58" t="str">
        <x:v>180일 중 90일</x:v>
      </x:c>
      <x:c r="I158" s="58" t="str">
        <x:v>일반 확인</x:v>
      </x:c>
      <x:c r="J158" s="58" t="str">
        <x:v>입국 조건 안내</x:v>
      </x:c>
      <x:c r="K158" s="60" t="str">
        <x:v>외교부 기준·갱신 확인 필요</x:v>
      </x:c>
      <x:c r="L158" s="56" t="str">
        <x:f>IF(K158="공식 확인 완료","게시 가능","게시 금지")</x:f>
        <x:v>게시 금지</x:v>
      </x:c>
      <x:c r="M158" s="56" t="str">
        <x:v>P2</x:v>
      </x:c>
      <x:c r="N158" s="61" t="str"/>
      <x:c r="O158" s="61" t="str">
        <x:v>https://www.passportindex.org/passport/south-korea/</x:v>
      </x:c>
      <x:c r="P158" s="62"/>
      <x:c r="Q158" s="56" t="str">
        <x:f>IF(P158="","미검증",IF(TODAY()-P158&lt;=90,"최신",IF(TODAY()-P158&lt;=180,"갱신 예정","갱신 필요")))</x:f>
        <x:v>미검증</x:v>
      </x:c>
      <x:c r="R158" s="58" t="str"/>
    </x:row>
    <x:row r="159">
      <x:c r="A159" s="56" t="str">
        <x:v>유럽</x:v>
      </x:c>
      <x:c r="B159" s="56" t="str">
        <x:v>독일</x:v>
      </x:c>
      <x:c r="C159" s="56" t="str">
        <x:v>복수:O(90일) 단수:해당없음</x:v>
      </x:c>
      <x:c r="D159" s="58" t="str">
        <x:v>외교관여권 소지자 : 협정 관용여권 소지자 : 협정 일반여권 소지자 : 협정(복수)</x:v>
      </x:c>
      <x:c r="E159" s="56" t="str">
        <x:v>비자 불필요</x:v>
      </x:c>
      <x:c r="F159" s="59" t="str">
        <x:v>무사증</x:v>
      </x:c>
      <x:c r="G159" s="56" t="str">
        <x:v>아니오</x:v>
      </x:c>
      <x:c r="H159" s="58" t="str">
        <x:v>복수:O(90일) 단수:해당없음</x:v>
      </x:c>
      <x:c r="I159" s="58" t="str">
        <x:v>일반 확인</x:v>
      </x:c>
      <x:c r="J159" s="58" t="str">
        <x:v>입국 조건 안내</x:v>
      </x:c>
      <x:c r="K159" s="60" t="str">
        <x:v>외교부 기준·갱신 확인 필요</x:v>
      </x:c>
      <x:c r="L159" s="56" t="str">
        <x:f>IF(K159="공식 확인 완료","게시 가능","게시 금지")</x:f>
        <x:v>게시 금지</x:v>
      </x:c>
      <x:c r="M159" s="56" t="str">
        <x:v>P2</x:v>
      </x:c>
      <x:c r="N159" s="61" t="str"/>
      <x:c r="O159" s="61" t="str">
        <x:v>https://www.passportindex.org/passport/south-korea/</x:v>
      </x:c>
      <x:c r="P159" s="62"/>
      <x:c r="Q159" s="56" t="str">
        <x:f>IF(P159="","미검증",IF(TODAY()-P159&lt;=90,"최신",IF(TODAY()-P159&lt;=180,"갱신 예정","갱신 필요")))</x:f>
        <x:v>미검증</x:v>
      </x:c>
      <x:c r="R159" s="58" t="str"/>
    </x:row>
    <x:row r="160">
      <x:c r="A160" s="56" t="str">
        <x:v>유럽</x:v>
      </x:c>
      <x:c r="B160" s="56" t="str">
        <x:v>라트비아</x:v>
      </x:c>
      <x:c r="C160" s="56" t="str">
        <x:v>90일</x:v>
      </x:c>
      <x:c r="D160" s="58" t="str">
        <x:v>외교관여권 소지자 : 협정 관용여권 소지자 : 협정 일반여권 소지자 : 협정</x:v>
      </x:c>
      <x:c r="E160" s="56" t="str">
        <x:v>비자 불필요</x:v>
      </x:c>
      <x:c r="F160" s="59" t="str">
        <x:v>무사증</x:v>
      </x:c>
      <x:c r="G160" s="56" t="str">
        <x:v>아니오</x:v>
      </x:c>
      <x:c r="H160" s="58" t="str">
        <x:v>90일</x:v>
      </x:c>
      <x:c r="I160" s="58" t="str">
        <x:v>일반 확인</x:v>
      </x:c>
      <x:c r="J160" s="58" t="str">
        <x:v>입국 조건 안내</x:v>
      </x:c>
      <x:c r="K160" s="60" t="str">
        <x:v>외교부 기준·갱신 확인 필요</x:v>
      </x:c>
      <x:c r="L160" s="56" t="str">
        <x:f>IF(K160="공식 확인 완료","게시 가능","게시 금지")</x:f>
        <x:v>게시 금지</x:v>
      </x:c>
      <x:c r="M160" s="56" t="str">
        <x:v>P2</x:v>
      </x:c>
      <x:c r="N160" s="61" t="str"/>
      <x:c r="O160" s="61" t="str">
        <x:v>https://www.passportindex.org/passport/south-korea/</x:v>
      </x:c>
      <x:c r="P160" s="62"/>
      <x:c r="Q160" s="56" t="str">
        <x:f>IF(P160="","미검증",IF(TODAY()-P160&lt;=90,"최신",IF(TODAY()-P160&lt;=180,"갱신 예정","갱신 필요")))</x:f>
        <x:v>미검증</x:v>
      </x:c>
      <x:c r="R160" s="58" t="str"/>
    </x:row>
    <x:row r="161">
      <x:c r="A161" s="56" t="str">
        <x:v>유럽</x:v>
      </x:c>
      <x:c r="B161" s="56" t="str">
        <x:v>러시아</x:v>
      </x:c>
      <x:c r="C161" s="56" t="str">
        <x:v>60일 180일 이내 총 90일 초과 불가, 1회 연속체류 최대 60일</x:v>
      </x:c>
      <x:c r="D161" s="58" t="str">
        <x:v>외교관여권 소지자 : 협정 관용여권 소지자 : 협정 일반여권 소지자 : 협정</x:v>
      </x:c>
      <x:c r="E161" s="56" t="str">
        <x:v>비자 불필요</x:v>
      </x:c>
      <x:c r="F161" s="59" t="str">
        <x:v>무사증</x:v>
      </x:c>
      <x:c r="G161" s="56" t="str">
        <x:v>아니오</x:v>
      </x:c>
      <x:c r="H161" s="58" t="str">
        <x:v>60일 180일 이내 총 90일 초과 불가, 1회 연속체류 최대 60일</x:v>
      </x:c>
      <x:c r="I161" s="58" t="str">
        <x:v>일반 확인</x:v>
      </x:c>
      <x:c r="J161" s="58" t="str">
        <x:v>입국 조건 안내</x:v>
      </x:c>
      <x:c r="K161" s="60" t="str">
        <x:v>외교부 기준·갱신 확인 필요</x:v>
      </x:c>
      <x:c r="L161" s="56" t="str">
        <x:f>IF(K161="공식 확인 완료","게시 가능","게시 금지")</x:f>
        <x:v>게시 금지</x:v>
      </x:c>
      <x:c r="M161" s="56" t="str">
        <x:v>P2</x:v>
      </x:c>
      <x:c r="N161" s="61" t="str"/>
      <x:c r="O161" s="61" t="str">
        <x:v>https://www.passportindex.org/passport/south-korea/</x:v>
      </x:c>
      <x:c r="P161" s="62"/>
      <x:c r="Q161" s="56" t="str">
        <x:f>IF(P161="","미검증",IF(TODAY()-P161&lt;=90,"최신",IF(TODAY()-P161&lt;=180,"갱신 예정","갱신 필요")))</x:f>
        <x:v>미검증</x:v>
      </x:c>
      <x:c r="R161" s="58" t="str"/>
    </x:row>
    <x:row r="162">
      <x:c r="A162" s="56" t="str">
        <x:v>유럽</x:v>
      </x:c>
      <x:c r="B162" s="56" t="str">
        <x:v>루마니아</x:v>
      </x:c>
      <x:c r="C162" s="56" t="str">
        <x:v>180일 중 90일</x:v>
      </x:c>
      <x:c r="D162" s="58" t="str">
        <x:v>외교관여권 소지자 : 협정 관용여권 소지자 : 협정 일반여권 소지자 : 협정</x:v>
      </x:c>
      <x:c r="E162" s="56" t="str">
        <x:v>비자 불필요</x:v>
      </x:c>
      <x:c r="F162" s="59" t="str">
        <x:v>무사증</x:v>
      </x:c>
      <x:c r="G162" s="56" t="str">
        <x:v>아니오</x:v>
      </x:c>
      <x:c r="H162" s="58" t="str">
        <x:v>180일 중 90일</x:v>
      </x:c>
      <x:c r="I162" s="58" t="str">
        <x:v>일반 확인</x:v>
      </x:c>
      <x:c r="J162" s="58" t="str">
        <x:v>입국 조건 안내</x:v>
      </x:c>
      <x:c r="K162" s="60" t="str">
        <x:v>외교부 기준·갱신 확인 필요</x:v>
      </x:c>
      <x:c r="L162" s="56" t="str">
        <x:f>IF(K162="공식 확인 완료","게시 가능","게시 금지")</x:f>
        <x:v>게시 금지</x:v>
      </x:c>
      <x:c r="M162" s="56" t="str">
        <x:v>P2</x:v>
      </x:c>
      <x:c r="N162" s="61" t="str"/>
      <x:c r="O162" s="61" t="str">
        <x:v>https://www.passportindex.org/passport/south-korea/</x:v>
      </x:c>
      <x:c r="P162" s="62"/>
      <x:c r="Q162" s="56" t="str">
        <x:f>IF(P162="","미검증",IF(TODAY()-P162&lt;=90,"최신",IF(TODAY()-P162&lt;=180,"갱신 예정","갱신 필요")))</x:f>
        <x:v>미검증</x:v>
      </x:c>
      <x:c r="R162" s="58" t="str"/>
    </x:row>
    <x:row r="163">
      <x:c r="A163" s="56" t="str">
        <x:v>유럽</x:v>
      </x:c>
      <x:c r="B163" s="56" t="str">
        <x:v>룩셈부르크</x:v>
      </x:c>
      <x:c r="C163" s="56" t="str">
        <x:v>90일</x:v>
      </x:c>
      <x:c r="D163" s="58" t="str">
        <x:v>외교관여권 소지자 : 협정 관용여권 소지자 : 협정 일반여권 소지자 : 협정</x:v>
      </x:c>
      <x:c r="E163" s="56" t="str">
        <x:v>비자 불필요</x:v>
      </x:c>
      <x:c r="F163" s="59" t="str">
        <x:v>무사증</x:v>
      </x:c>
      <x:c r="G163" s="56" t="str">
        <x:v>아니오</x:v>
      </x:c>
      <x:c r="H163" s="58" t="str">
        <x:v>90일</x:v>
      </x:c>
      <x:c r="I163" s="58" t="str">
        <x:v>일반 확인</x:v>
      </x:c>
      <x:c r="J163" s="58" t="str">
        <x:v>입국 조건 안내</x:v>
      </x:c>
      <x:c r="K163" s="60" t="str">
        <x:v>외교부 기준·갱신 확인 필요</x:v>
      </x:c>
      <x:c r="L163" s="56" t="str">
        <x:f>IF(K163="공식 확인 완료","게시 가능","게시 금지")</x:f>
        <x:v>게시 금지</x:v>
      </x:c>
      <x:c r="M163" s="56" t="str">
        <x:v>P2</x:v>
      </x:c>
      <x:c r="N163" s="61" t="str"/>
      <x:c r="O163" s="61" t="str">
        <x:v>https://www.passportindex.org/passport/south-korea/</x:v>
      </x:c>
      <x:c r="P163" s="62"/>
      <x:c r="Q163" s="56" t="str">
        <x:f>IF(P163="","미검증",IF(TODAY()-P163&lt;=90,"최신",IF(TODAY()-P163&lt;=180,"갱신 예정","갱신 필요")))</x:f>
        <x:v>미검증</x:v>
      </x:c>
      <x:c r="R163" s="58" t="str"/>
    </x:row>
    <x:row r="164">
      <x:c r="A164" s="56" t="str">
        <x:v>유럽</x:v>
      </x:c>
      <x:c r="B164" s="56" t="str">
        <x:v>리투아니아</x:v>
      </x:c>
      <x:c r="C164" s="56" t="str">
        <x:v>90일</x:v>
      </x:c>
      <x:c r="D164" s="58" t="str">
        <x:v>외교관여권 소지자 : 협정 관용여권 소지자 : 협정 일반여권 소지자 : 협정</x:v>
      </x:c>
      <x:c r="E164" s="56" t="str">
        <x:v>비자 불필요</x:v>
      </x:c>
      <x:c r="F164" s="59" t="str">
        <x:v>무사증</x:v>
      </x:c>
      <x:c r="G164" s="56" t="str">
        <x:v>아니오</x:v>
      </x:c>
      <x:c r="H164" s="58" t="str">
        <x:v>90일</x:v>
      </x:c>
      <x:c r="I164" s="58" t="str">
        <x:v>일반 확인</x:v>
      </x:c>
      <x:c r="J164" s="58" t="str">
        <x:v>입국 조건 안내</x:v>
      </x:c>
      <x:c r="K164" s="60" t="str">
        <x:v>외교부 기준·갱신 확인 필요</x:v>
      </x:c>
      <x:c r="L164" s="56" t="str">
        <x:f>IF(K164="공식 확인 완료","게시 가능","게시 금지")</x:f>
        <x:v>게시 금지</x:v>
      </x:c>
      <x:c r="M164" s="56" t="str">
        <x:v>P2</x:v>
      </x:c>
      <x:c r="N164" s="61" t="str"/>
      <x:c r="O164" s="61" t="str">
        <x:v>https://www.passportindex.org/passport/south-korea/</x:v>
      </x:c>
      <x:c r="P164" s="62"/>
      <x:c r="Q164" s="56" t="str">
        <x:f>IF(P164="","미검증",IF(TODAY()-P164&lt;=90,"최신",IF(TODAY()-P164&lt;=180,"갱신 예정","갱신 필요")))</x:f>
        <x:v>미검증</x:v>
      </x:c>
      <x:c r="R164" s="58" t="str"/>
    </x:row>
    <x:row r="165">
      <x:c r="A165" s="56" t="str">
        <x:v>유럽</x:v>
      </x:c>
      <x:c r="B165" s="56" t="str">
        <x:v>리히텐슈타인</x:v>
      </x:c>
      <x:c r="C165" s="56" t="str">
        <x:v>솅겐국가 최종 출국일(단속일) 기준으로 이전 180일 이내 90일간</x:v>
      </x:c>
      <x:c r="D165" s="58" t="str">
        <x:v>외교관여권 소지자 : 협정 관용여권 소지자 : 협정 일반여권 소지자 : 협정</x:v>
      </x:c>
      <x:c r="E165" s="56" t="str">
        <x:v>비자 불필요</x:v>
      </x:c>
      <x:c r="F165" s="59" t="str">
        <x:v>무사증</x:v>
      </x:c>
      <x:c r="G165" s="56" t="str">
        <x:v>아니오</x:v>
      </x:c>
      <x:c r="H165" s="58" t="str">
        <x:v>솅겐국가 최종 출국일(단속일) 기준으로 이전 180일 이내 90일간</x:v>
      </x:c>
      <x:c r="I165" s="58" t="str">
        <x:v>일반 확인</x:v>
      </x:c>
      <x:c r="J165" s="58" t="str">
        <x:v>입국 조건 안내</x:v>
      </x:c>
      <x:c r="K165" s="60" t="str">
        <x:v>외교부 기준·갱신 확인 필요</x:v>
      </x:c>
      <x:c r="L165" s="56" t="str">
        <x:f>IF(K165="공식 확인 완료","게시 가능","게시 금지")</x:f>
        <x:v>게시 금지</x:v>
      </x:c>
      <x:c r="M165" s="56" t="str">
        <x:v>P2</x:v>
      </x:c>
      <x:c r="N165" s="61" t="str"/>
      <x:c r="O165" s="61" t="str">
        <x:v>https://www.passportindex.org/passport/south-korea/</x:v>
      </x:c>
      <x:c r="P165" s="62"/>
      <x:c r="Q165" s="56" t="str">
        <x:f>IF(P165="","미검증",IF(TODAY()-P165&lt;=90,"최신",IF(TODAY()-P165&lt;=180,"갱신 예정","갱신 필요")))</x:f>
        <x:v>미검증</x:v>
      </x:c>
      <x:c r="R165" s="58" t="str"/>
    </x:row>
    <x:row r="166">
      <x:c r="A166" s="56" t="str">
        <x:v>유럽</x:v>
      </x:c>
      <x:c r="B166" s="56" t="str">
        <x:v>몬테네그로</x:v>
      </x:c>
      <x:c r="C166" s="56" t="str">
        <x:v>90일</x:v>
      </x:c>
      <x:c r="D166" s="58" t="str">
        <x:v>외교관여권 소지자 : 상호주의 관용여권 소지자 : 상호주의 일반여권 소지자 : 상호주의</x:v>
      </x:c>
      <x:c r="E166" s="56" t="str">
        <x:v>비자 불필요</x:v>
      </x:c>
      <x:c r="F166" s="59" t="str">
        <x:v>무사증</x:v>
      </x:c>
      <x:c r="G166" s="56" t="str">
        <x:v>아니오</x:v>
      </x:c>
      <x:c r="H166" s="58" t="str">
        <x:v>90일</x:v>
      </x:c>
      <x:c r="I166" s="58" t="str">
        <x:v>일반 확인</x:v>
      </x:c>
      <x:c r="J166" s="58" t="str">
        <x:v>입국 조건 안내</x:v>
      </x:c>
      <x:c r="K166" s="60" t="str">
        <x:v>외교부 기준·갱신 확인 필요</x:v>
      </x:c>
      <x:c r="L166" s="56" t="str">
        <x:f>IF(K166="공식 확인 완료","게시 가능","게시 금지")</x:f>
        <x:v>게시 금지</x:v>
      </x:c>
      <x:c r="M166" s="56" t="str">
        <x:v>P2</x:v>
      </x:c>
      <x:c r="N166" s="61" t="str"/>
      <x:c r="O166" s="61" t="str">
        <x:v>https://www.passportindex.org/passport/south-korea/</x:v>
      </x:c>
      <x:c r="P166" s="62"/>
      <x:c r="Q166" s="56" t="str">
        <x:f>IF(P166="","미검증",IF(TODAY()-P166&lt;=90,"최신",IF(TODAY()-P166&lt;=180,"갱신 예정","갱신 필요")))</x:f>
        <x:v>미검증</x:v>
      </x:c>
      <x:c r="R166" s="58" t="str"/>
    </x:row>
    <x:row r="167">
      <x:c r="A167" s="56" t="str">
        <x:v>유럽</x:v>
      </x:c>
      <x:c r="B167" s="56" t="str">
        <x:v>몰도바</x:v>
      </x:c>
      <x:c r="C167" s="56" t="str">
        <x:v>6개월중 누적 90일</x:v>
      </x:c>
      <x:c r="D167" s="58" t="str">
        <x:v>외교관여권 소지자 : 협정 관용여권 소지자 : 협정 일반여권 소지자 : 일방적 면제</x:v>
      </x:c>
      <x:c r="E167" s="56" t="str">
        <x:v>비자 불필요</x:v>
      </x:c>
      <x:c r="F167" s="59" t="str">
        <x:v>무사증</x:v>
      </x:c>
      <x:c r="G167" s="56" t="str">
        <x:v>아니오</x:v>
      </x:c>
      <x:c r="H167" s="58" t="str">
        <x:v>6개월중 누적 90일</x:v>
      </x:c>
      <x:c r="I167" s="58" t="str">
        <x:v>일반 확인</x:v>
      </x:c>
      <x:c r="J167" s="58" t="str">
        <x:v>입국 조건 안내</x:v>
      </x:c>
      <x:c r="K167" s="60" t="str">
        <x:v>외교부 기준·갱신 확인 필요</x:v>
      </x:c>
      <x:c r="L167" s="56" t="str">
        <x:f>IF(K167="공식 확인 완료","게시 가능","게시 금지")</x:f>
        <x:v>게시 금지</x:v>
      </x:c>
      <x:c r="M167" s="56" t="str">
        <x:v>P2</x:v>
      </x:c>
      <x:c r="N167" s="61" t="str"/>
      <x:c r="O167" s="61" t="str">
        <x:v>https://www.passportindex.org/passport/south-korea/</x:v>
      </x:c>
      <x:c r="P167" s="62"/>
      <x:c r="Q167" s="56" t="str">
        <x:f>IF(P167="","미검증",IF(TODAY()-P167&lt;=90,"최신",IF(TODAY()-P167&lt;=180,"갱신 예정","갱신 필요")))</x:f>
        <x:v>미검증</x:v>
      </x:c>
      <x:c r="R167" s="58" t="str"/>
    </x:row>
    <x:row r="168">
      <x:c r="A168" s="56" t="str">
        <x:v>유럽</x:v>
      </x:c>
      <x:c r="B168" s="56" t="str">
        <x:v>몰타</x:v>
      </x:c>
      <x:c r="C168" s="56" t="str">
        <x:v>90일</x:v>
      </x:c>
      <x:c r="D168" s="58" t="str">
        <x:v>외교관여권 소지자 : 협정 관용여권 소지자 : 협정 일반여권 소지자 : 협정</x:v>
      </x:c>
      <x:c r="E168" s="56" t="str">
        <x:v>비자 불필요</x:v>
      </x:c>
      <x:c r="F168" s="59" t="str">
        <x:v>무사증</x:v>
      </x:c>
      <x:c r="G168" s="56" t="str">
        <x:v>아니오</x:v>
      </x:c>
      <x:c r="H168" s="58" t="str">
        <x:v>90일</x:v>
      </x:c>
      <x:c r="I168" s="58" t="str">
        <x:v>일반 확인</x:v>
      </x:c>
      <x:c r="J168" s="58" t="str">
        <x:v>입국 조건 안내</x:v>
      </x:c>
      <x:c r="K168" s="60" t="str">
        <x:v>외교부 기준·갱신 확인 필요</x:v>
      </x:c>
      <x:c r="L168" s="56" t="str">
        <x:f>IF(K168="공식 확인 완료","게시 가능","게시 금지")</x:f>
        <x:v>게시 금지</x:v>
      </x:c>
      <x:c r="M168" s="56" t="str">
        <x:v>P2</x:v>
      </x:c>
      <x:c r="N168" s="61" t="str"/>
      <x:c r="O168" s="61" t="str">
        <x:v>https://www.passportindex.org/passport/south-korea/</x:v>
      </x:c>
      <x:c r="P168" s="62"/>
      <x:c r="Q168" s="56" t="str">
        <x:f>IF(P168="","미검증",IF(TODAY()-P168&lt;=90,"최신",IF(TODAY()-P168&lt;=180,"갱신 예정","갱신 필요")))</x:f>
        <x:v>미검증</x:v>
      </x:c>
      <x:c r="R168" s="58" t="str"/>
    </x:row>
    <x:row r="169">
      <x:c r="A169" s="56" t="str">
        <x:v>유럽</x:v>
      </x:c>
      <x:c r="B169" s="56" t="str">
        <x:v>벨기에</x:v>
      </x:c>
      <x:c r="C169" s="56" t="str">
        <x:v>90일</x:v>
      </x:c>
      <x:c r="D169" s="58" t="str">
        <x:v>외교관여권 소지자 : 협정 관용여권 소지자 : 협정 일반여권 소지자 : 협정</x:v>
      </x:c>
      <x:c r="E169" s="56" t="str">
        <x:v>비자 불필요</x:v>
      </x:c>
      <x:c r="F169" s="59" t="str">
        <x:v>무사증</x:v>
      </x:c>
      <x:c r="G169" s="56" t="str">
        <x:v>아니오</x:v>
      </x:c>
      <x:c r="H169" s="58" t="str">
        <x:v>90일</x:v>
      </x:c>
      <x:c r="I169" s="58" t="str">
        <x:v>일반 확인</x:v>
      </x:c>
      <x:c r="J169" s="58" t="str">
        <x:v>입국 조건 안내</x:v>
      </x:c>
      <x:c r="K169" s="60" t="str">
        <x:v>외교부 기준·갱신 확인 필요</x:v>
      </x:c>
      <x:c r="L169" s="56" t="str">
        <x:f>IF(K169="공식 확인 완료","게시 가능","게시 금지")</x:f>
        <x:v>게시 금지</x:v>
      </x:c>
      <x:c r="M169" s="56" t="str">
        <x:v>P2</x:v>
      </x:c>
      <x:c r="N169" s="61" t="str"/>
      <x:c r="O169" s="61" t="str">
        <x:v>https://www.passportindex.org/passport/south-korea/</x:v>
      </x:c>
      <x:c r="P169" s="62"/>
      <x:c r="Q169" s="56" t="str">
        <x:f>IF(P169="","미검증",IF(TODAY()-P169&lt;=90,"최신",IF(TODAY()-P169&lt;=180,"갱신 예정","갱신 필요")))</x:f>
        <x:v>미검증</x:v>
      </x:c>
      <x:c r="R169" s="58" t="str"/>
    </x:row>
    <x:row r="170">
      <x:c r="A170" s="56" t="str">
        <x:v>유럽</x:v>
      </x:c>
      <x:c r="B170" s="56" t="str">
        <x:v>벨라루스</x:v>
      </x:c>
      <x:c r="C170" s="56" t="str">
        <x:v>30일, 1년 최대 90일 / 단, 러시아 제외 제3국으로부터 국제공항을 통해 출입국 필요</x:v>
      </x:c>
      <x:c r="D170" s="58" t="str">
        <x:v>외교관여권 소지자 : 협정 관용여권 소지자 : 협정 일반여권 소지자 : 일방 · ※ 벨라루스 : (1) 러시아를 제외한 제3국으로부터, (2) 민스크, 브레스트, 비쳅스크, 고멜, 그로드노, 모길료프 국제공항을 통해 출입국 하는 경우에만 무사증입국 가능(1년에 최대 90일까지 인정)</x:v>
      </x:c>
      <x:c r="E170" s="56" t="str">
        <x:v>비자 불필요</x:v>
      </x:c>
      <x:c r="F170" s="59" t="str">
        <x:v>무사증</x:v>
      </x:c>
      <x:c r="G170" s="56" t="str">
        <x:v>아니오</x:v>
      </x:c>
      <x:c r="H170" s="58" t="str">
        <x:v>30일, 1년 최대 90일 / 단, 러시아 제외 제3국으로부터 국제공항을 통해 출입국 필요</x:v>
      </x:c>
      <x:c r="I170" s="58" t="str">
        <x:v>일반 확인</x:v>
      </x:c>
      <x:c r="J170" s="58" t="str">
        <x:v>입국 조건 안내</x:v>
      </x:c>
      <x:c r="K170" s="60" t="str">
        <x:v>외교부 기준·갱신 확인 필요</x:v>
      </x:c>
      <x:c r="L170" s="56" t="str">
        <x:f>IF(K170="공식 확인 완료","게시 가능","게시 금지")</x:f>
        <x:v>게시 금지</x:v>
      </x:c>
      <x:c r="M170" s="56" t="str">
        <x:v>P2</x:v>
      </x:c>
      <x:c r="N170" s="61" t="str"/>
      <x:c r="O170" s="61" t="str">
        <x:v>https://www.passportindex.org/passport/south-korea/</x:v>
      </x:c>
      <x:c r="P170" s="62"/>
      <x:c r="Q170" s="56" t="str">
        <x:f>IF(P170="","미검증",IF(TODAY()-P170&lt;=90,"최신",IF(TODAY()-P170&lt;=180,"갱신 예정","갱신 필요")))</x:f>
        <x:v>미검증</x:v>
      </x:c>
      <x:c r="R170" s="58" t="str">
        <x:v>※ 벨라루스 : (1) 러시아를 제외한 제3국으로부터, (2) 민스크, 브레스트, 비쳅스크, 고멜, 그로드노, 모길료프 국제공항을 통해 출입국 하는 경우에만 무사증입국 가능(1년에 최대 90일까지 인정)</x:v>
      </x:c>
    </x:row>
    <x:row r="171">
      <x:c r="A171" s="56" t="str">
        <x:v>유럽</x:v>
      </x:c>
      <x:c r="B171" s="56" t="str">
        <x:v>보스니아헤르체고비나</x:v>
      </x:c>
      <x:c r="C171" s="56" t="str">
        <x:v>90일</x:v>
      </x:c>
      <x:c r="D171" s="58" t="str">
        <x:v>외교관여권 소지자 : 일방 관용여권 소지자 : 일방 일반여권 소지자 : 일방</x:v>
      </x:c>
      <x:c r="E171" s="56" t="str">
        <x:v>비자 불필요</x:v>
      </x:c>
      <x:c r="F171" s="59" t="str">
        <x:v>무사증</x:v>
      </x:c>
      <x:c r="G171" s="56" t="str">
        <x:v>아니오</x:v>
      </x:c>
      <x:c r="H171" s="58" t="str">
        <x:v>90일</x:v>
      </x:c>
      <x:c r="I171" s="58" t="str">
        <x:v>일반 확인</x:v>
      </x:c>
      <x:c r="J171" s="58" t="str">
        <x:v>입국 조건 안내</x:v>
      </x:c>
      <x:c r="K171" s="60" t="str">
        <x:v>외교부 기준·갱신 확인 필요</x:v>
      </x:c>
      <x:c r="L171" s="56" t="str">
        <x:f>IF(K171="공식 확인 완료","게시 가능","게시 금지")</x:f>
        <x:v>게시 금지</x:v>
      </x:c>
      <x:c r="M171" s="56" t="str">
        <x:v>P2</x:v>
      </x:c>
      <x:c r="N171" s="61" t="str"/>
      <x:c r="O171" s="61" t="str">
        <x:v>https://www.passportindex.org/passport/south-korea/</x:v>
      </x:c>
      <x:c r="P171" s="62"/>
      <x:c r="Q171" s="56" t="str">
        <x:f>IF(P171="","미검증",IF(TODAY()-P171&lt;=90,"최신",IF(TODAY()-P171&lt;=180,"갱신 예정","갱신 필요")))</x:f>
        <x:v>미검증</x:v>
      </x:c>
      <x:c r="R171" s="58" t="str"/>
    </x:row>
    <x:row r="172">
      <x:c r="A172" s="56" t="str">
        <x:v>유럽</x:v>
      </x:c>
      <x:c r="B172" s="56" t="str">
        <x:v>북마케도니아</x:v>
      </x:c>
      <x:c r="C172" s="56" t="str">
        <x:v>복수여권: O (180일 내 90일) 단수여권: 외교부 영사국에 확인 중</x:v>
      </x:c>
      <x:c r="D172" s="58" t="str">
        <x:v>외교관여권 소지자 : 일방적 면제 관용여권 소지자 : 일방적 면제 일반여권 소지자 : 일방적 면제</x:v>
      </x:c>
      <x:c r="E172" s="56" t="str">
        <x:v>비자 불필요</x:v>
      </x:c>
      <x:c r="F172" s="59" t="str">
        <x:v>무사증</x:v>
      </x:c>
      <x:c r="G172" s="56" t="str">
        <x:v>아니오</x:v>
      </x:c>
      <x:c r="H172" s="58" t="str">
        <x:v>복수여권: O (180일 내 90일) 단수여권: 외교부 영사국에 확인 중</x:v>
      </x:c>
      <x:c r="I172" s="58" t="str">
        <x:v>일반 확인</x:v>
      </x:c>
      <x:c r="J172" s="58" t="str">
        <x:v>입국 조건 안내</x:v>
      </x:c>
      <x:c r="K172" s="60" t="str">
        <x:v>외교부 기준·갱신 확인 필요</x:v>
      </x:c>
      <x:c r="L172" s="56" t="str">
        <x:f>IF(K172="공식 확인 완료","게시 가능","게시 금지")</x:f>
        <x:v>게시 금지</x:v>
      </x:c>
      <x:c r="M172" s="56" t="str">
        <x:v>P2</x:v>
      </x:c>
      <x:c r="N172" s="61" t="str"/>
      <x:c r="O172" s="61" t="str">
        <x:v>https://www.passportindex.org/passport/south-korea/</x:v>
      </x:c>
      <x:c r="P172" s="62"/>
      <x:c r="Q172" s="56" t="str">
        <x:f>IF(P172="","미검증",IF(TODAY()-P172&lt;=90,"최신",IF(TODAY()-P172&lt;=180,"갱신 예정","갱신 필요")))</x:f>
        <x:v>미검증</x:v>
      </x:c>
      <x:c r="R172" s="58" t="str"/>
    </x:row>
    <x:row r="173">
      <x:c r="A173" s="56" t="str">
        <x:v>유럽</x:v>
      </x:c>
      <x:c r="B173" s="56" t="str">
        <x:v>불가리아</x:v>
      </x:c>
      <x:c r="C173" s="56" t="str">
        <x:v>복수여권: O (180일 내 90일) 단수여권: 외교부 영사국에 확인 중</x:v>
      </x:c>
      <x:c r="D173" s="58" t="str">
        <x:v>외교관여권 소지자 : 협정 관용여권 소지자 : 협정 일반여권 소지자 : 협정</x:v>
      </x:c>
      <x:c r="E173" s="56" t="str">
        <x:v>비자 불필요</x:v>
      </x:c>
      <x:c r="F173" s="59" t="str">
        <x:v>무사증</x:v>
      </x:c>
      <x:c r="G173" s="56" t="str">
        <x:v>아니오</x:v>
      </x:c>
      <x:c r="H173" s="58" t="str">
        <x:v>복수여권: O (180일 내 90일) 단수여권: 외교부 영사국에 확인 중</x:v>
      </x:c>
      <x:c r="I173" s="58" t="str">
        <x:v>일반 확인</x:v>
      </x:c>
      <x:c r="J173" s="58" t="str">
        <x:v>입국 조건 안내</x:v>
      </x:c>
      <x:c r="K173" s="60" t="str">
        <x:v>외교부 기준·갱신 확인 필요</x:v>
      </x:c>
      <x:c r="L173" s="56" t="str">
        <x:f>IF(K173="공식 확인 완료","게시 가능","게시 금지")</x:f>
        <x:v>게시 금지</x:v>
      </x:c>
      <x:c r="M173" s="56" t="str">
        <x:v>P2</x:v>
      </x:c>
      <x:c r="N173" s="61" t="str"/>
      <x:c r="O173" s="61" t="str">
        <x:v>https://www.passportindex.org/passport/south-korea/</x:v>
      </x:c>
      <x:c r="P173" s="62"/>
      <x:c r="Q173" s="56" t="str">
        <x:f>IF(P173="","미검증",IF(TODAY()-P173&lt;=90,"최신",IF(TODAY()-P173&lt;=180,"갱신 예정","갱신 필요")))</x:f>
        <x:v>미검증</x:v>
      </x:c>
      <x:c r="R173" s="58" t="str"/>
    </x:row>
    <x:row r="174">
      <x:c r="A174" s="56" t="str">
        <x:v>유럽</x:v>
      </x:c>
      <x:c r="B174" s="56" t="str">
        <x:v>사이프러스 (키프러스)</x:v>
      </x:c>
      <x:c r="C174" s="56" t="str">
        <x:v>90일</x:v>
      </x:c>
      <x:c r="D174" s="58" t="str">
        <x:v>외교관여권 소지자 : 협정 관용여권 소지자 : 협정 일반여권 소지자 : 상호</x:v>
      </x:c>
      <x:c r="E174" s="56" t="str">
        <x:v>비자 불필요</x:v>
      </x:c>
      <x:c r="F174" s="59" t="str">
        <x:v>무사증</x:v>
      </x:c>
      <x:c r="G174" s="56" t="str">
        <x:v>아니오</x:v>
      </x:c>
      <x:c r="H174" s="58" t="str">
        <x:v>90일</x:v>
      </x:c>
      <x:c r="I174" s="58" t="str">
        <x:v>일반 확인</x:v>
      </x:c>
      <x:c r="J174" s="58" t="str">
        <x:v>입국 조건 안내</x:v>
      </x:c>
      <x:c r="K174" s="60" t="str">
        <x:v>외교부 기준·갱신 확인 필요</x:v>
      </x:c>
      <x:c r="L174" s="56" t="str">
        <x:f>IF(K174="공식 확인 완료","게시 가능","게시 금지")</x:f>
        <x:v>게시 금지</x:v>
      </x:c>
      <x:c r="M174" s="56" t="str">
        <x:v>P2</x:v>
      </x:c>
      <x:c r="N174" s="61" t="str"/>
      <x:c r="O174" s="61" t="str">
        <x:v>https://www.passportindex.org/passport/south-korea/</x:v>
      </x:c>
      <x:c r="P174" s="62"/>
      <x:c r="Q174" s="56" t="str">
        <x:f>IF(P174="","미검증",IF(TODAY()-P174&lt;=90,"최신",IF(TODAY()-P174&lt;=180,"갱신 예정","갱신 필요")))</x:f>
        <x:v>미검증</x:v>
      </x:c>
      <x:c r="R174" s="58" t="str"/>
    </x:row>
    <x:row r="175">
      <x:c r="A175" s="56" t="str">
        <x:v>유럽</x:v>
      </x:c>
      <x:c r="B175" s="56" t="str">
        <x:v>산마리노</x:v>
      </x:c>
      <x:c r="C175" s="56" t="str">
        <x:v>90일</x:v>
      </x:c>
      <x:c r="D175" s="58" t="str">
        <x:v>외교관여권 소지자 : 상호주의 관용여권 소지자 : 상호주의 일반여권 소지자 : 상호주의</x:v>
      </x:c>
      <x:c r="E175" s="56" t="str">
        <x:v>비자 불필요</x:v>
      </x:c>
      <x:c r="F175" s="59" t="str">
        <x:v>무사증</x:v>
      </x:c>
      <x:c r="G175" s="56" t="str">
        <x:v>아니오</x:v>
      </x:c>
      <x:c r="H175" s="58" t="str">
        <x:v>90일</x:v>
      </x:c>
      <x:c r="I175" s="58" t="str">
        <x:v>일반 확인</x:v>
      </x:c>
      <x:c r="J175" s="58" t="str">
        <x:v>입국 조건 안내</x:v>
      </x:c>
      <x:c r="K175" s="60" t="str">
        <x:v>외교부 기준·갱신 확인 필요</x:v>
      </x:c>
      <x:c r="L175" s="56" t="str">
        <x:f>IF(K175="공식 확인 완료","게시 가능","게시 금지")</x:f>
        <x:v>게시 금지</x:v>
      </x:c>
      <x:c r="M175" s="56" t="str">
        <x:v>P2</x:v>
      </x:c>
      <x:c r="N175" s="61" t="str"/>
      <x:c r="O175" s="61" t="str">
        <x:v>https://www.passportindex.org/passport/south-korea/</x:v>
      </x:c>
      <x:c r="P175" s="62"/>
      <x:c r="Q175" s="56" t="str">
        <x:f>IF(P175="","미검증",IF(TODAY()-P175&lt;=90,"최신",IF(TODAY()-P175&lt;=180,"갱신 예정","갱신 필요")))</x:f>
        <x:v>미검증</x:v>
      </x:c>
      <x:c r="R175" s="58" t="str"/>
    </x:row>
    <x:row r="176">
      <x:c r="A176" s="56" t="str">
        <x:v>유럽</x:v>
      </x:c>
      <x:c r="B176" s="56" t="str">
        <x:v>세르비아</x:v>
      </x:c>
      <x:c r="C176" s="56" t="str">
        <x:v>90일</x:v>
      </x:c>
      <x:c r="D176" s="58" t="str">
        <x:v>외교관여권 소지자 : 상호주의 관용여권 소지자 : 상호주의 일반여권 소지자 : 상호주의</x:v>
      </x:c>
      <x:c r="E176" s="56" t="str">
        <x:v>비자 불필요</x:v>
      </x:c>
      <x:c r="F176" s="59" t="str">
        <x:v>무사증</x:v>
      </x:c>
      <x:c r="G176" s="56" t="str">
        <x:v>아니오</x:v>
      </x:c>
      <x:c r="H176" s="58" t="str">
        <x:v>90일</x:v>
      </x:c>
      <x:c r="I176" s="58" t="str">
        <x:v>일반 확인</x:v>
      </x:c>
      <x:c r="J176" s="58" t="str">
        <x:v>입국 조건 안내</x:v>
      </x:c>
      <x:c r="K176" s="60" t="str">
        <x:v>외교부 기준·갱신 확인 필요</x:v>
      </x:c>
      <x:c r="L176" s="56" t="str">
        <x:f>IF(K176="공식 확인 완료","게시 가능","게시 금지")</x:f>
        <x:v>게시 금지</x:v>
      </x:c>
      <x:c r="M176" s="56" t="str">
        <x:v>P2</x:v>
      </x:c>
      <x:c r="N176" s="61" t="str"/>
      <x:c r="O176" s="61" t="str">
        <x:v>https://www.passportindex.org/passport/south-korea/</x:v>
      </x:c>
      <x:c r="P176" s="62"/>
      <x:c r="Q176" s="56" t="str">
        <x:f>IF(P176="","미검증",IF(TODAY()-P176&lt;=90,"최신",IF(TODAY()-P176&lt;=180,"갱신 예정","갱신 필요")))</x:f>
        <x:v>미검증</x:v>
      </x:c>
      <x:c r="R176" s="58" t="str"/>
    </x:row>
    <x:row r="177">
      <x:c r="A177" s="56" t="str">
        <x:v>유럽</x:v>
      </x:c>
      <x:c r="B177" s="56" t="str">
        <x:v>스웨덴</x:v>
      </x:c>
      <x:c r="C177" s="56" t="str">
        <x:v>180일 내 90일</x:v>
      </x:c>
      <x:c r="D177" s="58" t="str">
        <x:v>외교관여권 소지자 : 협정 관용여권 소지자 : 협정 일반여권 소지자 : 협정</x:v>
      </x:c>
      <x:c r="E177" s="56" t="str">
        <x:v>비자 불필요</x:v>
      </x:c>
      <x:c r="F177" s="59" t="str">
        <x:v>무사증</x:v>
      </x:c>
      <x:c r="G177" s="56" t="str">
        <x:v>아니오</x:v>
      </x:c>
      <x:c r="H177" s="58" t="str">
        <x:v>180일 내 90일</x:v>
      </x:c>
      <x:c r="I177" s="58" t="str">
        <x:v>일반 확인</x:v>
      </x:c>
      <x:c r="J177" s="58" t="str">
        <x:v>입국 조건 안내</x:v>
      </x:c>
      <x:c r="K177" s="60" t="str">
        <x:v>외교부 기준·갱신 확인 필요</x:v>
      </x:c>
      <x:c r="L177" s="56" t="str">
        <x:f>IF(K177="공식 확인 완료","게시 가능","게시 금지")</x:f>
        <x:v>게시 금지</x:v>
      </x:c>
      <x:c r="M177" s="56" t="str">
        <x:v>P2</x:v>
      </x:c>
      <x:c r="N177" s="61" t="str"/>
      <x:c r="O177" s="61" t="str">
        <x:v>https://www.passportindex.org/passport/south-korea/</x:v>
      </x:c>
      <x:c r="P177" s="62"/>
      <x:c r="Q177" s="56" t="str">
        <x:f>IF(P177="","미검증",IF(TODAY()-P177&lt;=90,"최신",IF(TODAY()-P177&lt;=180,"갱신 예정","갱신 필요")))</x:f>
        <x:v>미검증</x:v>
      </x:c>
      <x:c r="R177" s="58" t="str"/>
    </x:row>
    <x:row r="178">
      <x:c r="A178" s="56" t="str">
        <x:v>유럽</x:v>
      </x:c>
      <x:c r="B178" s="56" t="str">
        <x:v>스위스</x:v>
      </x:c>
      <x:c r="C178" s="56" t="str">
        <x:v>솅겐국가 최종 출국일(단속일) 기준으로 이전 180일 이내 90일간</x:v>
      </x:c>
      <x:c r="D178" s="58" t="str">
        <x:v>외교관여권 소지자 : 협정 관용여권 소지자 : 협정 일반여권 소지자 : 협정</x:v>
      </x:c>
      <x:c r="E178" s="56" t="str">
        <x:v>비자 불필요</x:v>
      </x:c>
      <x:c r="F178" s="59" t="str">
        <x:v>무사증</x:v>
      </x:c>
      <x:c r="G178" s="56" t="str">
        <x:v>아니오</x:v>
      </x:c>
      <x:c r="H178" s="58" t="str">
        <x:v>솅겐국가 최종 출국일(단속일) 기준으로 이전 180일 이내 90일간</x:v>
      </x:c>
      <x:c r="I178" s="58" t="str">
        <x:v>일반 확인</x:v>
      </x:c>
      <x:c r="J178" s="58" t="str">
        <x:v>입국 조건 안내</x:v>
      </x:c>
      <x:c r="K178" s="60" t="str">
        <x:v>외교부 기준·갱신 확인 필요</x:v>
      </x:c>
      <x:c r="L178" s="56" t="str">
        <x:f>IF(K178="공식 확인 완료","게시 가능","게시 금지")</x:f>
        <x:v>게시 금지</x:v>
      </x:c>
      <x:c r="M178" s="56" t="str">
        <x:v>P2</x:v>
      </x:c>
      <x:c r="N178" s="61" t="str"/>
      <x:c r="O178" s="61" t="str">
        <x:v>https://www.passportindex.org/passport/south-korea/</x:v>
      </x:c>
      <x:c r="P178" s="62"/>
      <x:c r="Q178" s="56" t="str">
        <x:f>IF(P178="","미검증",IF(TODAY()-P178&lt;=90,"최신",IF(TODAY()-P178&lt;=180,"갱신 예정","갱신 필요")))</x:f>
        <x:v>미검증</x:v>
      </x:c>
      <x:c r="R178" s="58" t="str"/>
    </x:row>
    <x:row r="179">
      <x:c r="A179" s="56" t="str">
        <x:v>유럽</x:v>
      </x:c>
      <x:c r="B179" s="56" t="str">
        <x:v>스페인</x:v>
      </x:c>
      <x:c r="C179" s="56" t="str">
        <x:v>90일</x:v>
      </x:c>
      <x:c r="D179" s="58" t="str">
        <x:v>외교관여권 소지자 : 협정 관용여권 소지자 : 협정 일반여권 소지자 : 상호주의</x:v>
      </x:c>
      <x:c r="E179" s="56" t="str">
        <x:v>비자 불필요</x:v>
      </x:c>
      <x:c r="F179" s="59" t="str">
        <x:v>무사증</x:v>
      </x:c>
      <x:c r="G179" s="56" t="str">
        <x:v>아니오</x:v>
      </x:c>
      <x:c r="H179" s="58" t="str">
        <x:v>90일</x:v>
      </x:c>
      <x:c r="I179" s="58" t="str">
        <x:v>일반 확인</x:v>
      </x:c>
      <x:c r="J179" s="58" t="str">
        <x:v>입국 조건 안내</x:v>
      </x:c>
      <x:c r="K179" s="60" t="str">
        <x:v>외교부 기준·갱신 확인 필요</x:v>
      </x:c>
      <x:c r="L179" s="56" t="str">
        <x:f>IF(K179="공식 확인 완료","게시 가능","게시 금지")</x:f>
        <x:v>게시 금지</x:v>
      </x:c>
      <x:c r="M179" s="56" t="str">
        <x:v>P2</x:v>
      </x:c>
      <x:c r="N179" s="61" t="str"/>
      <x:c r="O179" s="61" t="str">
        <x:v>https://www.passportindex.org/passport/south-korea/</x:v>
      </x:c>
      <x:c r="P179" s="62"/>
      <x:c r="Q179" s="56" t="str">
        <x:f>IF(P179="","미검증",IF(TODAY()-P179&lt;=90,"최신",IF(TODAY()-P179&lt;=180,"갱신 예정","갱신 필요")))</x:f>
        <x:v>미검증</x:v>
      </x:c>
      <x:c r="R179" s="58" t="str"/>
    </x:row>
    <x:row r="180">
      <x:c r="A180" s="56" t="str">
        <x:v>유럽</x:v>
      </x:c>
      <x:c r="B180" s="56" t="str">
        <x:v>슬로바키아</x:v>
      </x:c>
      <x:c r="C180" s="56" t="str">
        <x:v>90일</x:v>
      </x:c>
      <x:c r="D180" s="58" t="str">
        <x:v>외교관여권 소지자 : 협정 관용여권 소지자 : 협정 일반여권 소지자 : 협정</x:v>
      </x:c>
      <x:c r="E180" s="56" t="str">
        <x:v>비자 불필요</x:v>
      </x:c>
      <x:c r="F180" s="59" t="str">
        <x:v>무사증</x:v>
      </x:c>
      <x:c r="G180" s="56" t="str">
        <x:v>아니오</x:v>
      </x:c>
      <x:c r="H180" s="58" t="str">
        <x:v>90일</x:v>
      </x:c>
      <x:c r="I180" s="58" t="str">
        <x:v>일반 확인</x:v>
      </x:c>
      <x:c r="J180" s="58" t="str">
        <x:v>입국 조건 안내</x:v>
      </x:c>
      <x:c r="K180" s="60" t="str">
        <x:v>외교부 기준·갱신 확인 필요</x:v>
      </x:c>
      <x:c r="L180" s="56" t="str">
        <x:f>IF(K180="공식 확인 완료","게시 가능","게시 금지")</x:f>
        <x:v>게시 금지</x:v>
      </x:c>
      <x:c r="M180" s="56" t="str">
        <x:v>P2</x:v>
      </x:c>
      <x:c r="N180" s="61" t="str"/>
      <x:c r="O180" s="61" t="str">
        <x:v>https://www.passportindex.org/passport/south-korea/</x:v>
      </x:c>
      <x:c r="P180" s="62"/>
      <x:c r="Q180" s="56" t="str">
        <x:f>IF(P180="","미검증",IF(TODAY()-P180&lt;=90,"최신",IF(TODAY()-P180&lt;=180,"갱신 예정","갱신 필요")))</x:f>
        <x:v>미검증</x:v>
      </x:c>
      <x:c r="R180" s="58" t="str"/>
    </x:row>
    <x:row r="181">
      <x:c r="A181" s="56" t="str">
        <x:v>유럽</x:v>
      </x:c>
      <x:c r="B181" s="56" t="str">
        <x:v>슬로베니아</x:v>
      </x:c>
      <x:c r="C181" s="56" t="str">
        <x:v>90일</x:v>
      </x:c>
      <x:c r="D181" s="58" t="str">
        <x:v>외교관여권 소지자 : 상호주의 관용여권 소지자 : 상호주의 일반여권 소지자 : 상호주의</x:v>
      </x:c>
      <x:c r="E181" s="56" t="str">
        <x:v>비자 불필요</x:v>
      </x:c>
      <x:c r="F181" s="59" t="str">
        <x:v>무사증</x:v>
      </x:c>
      <x:c r="G181" s="56" t="str">
        <x:v>아니오</x:v>
      </x:c>
      <x:c r="H181" s="58" t="str">
        <x:v>90일</x:v>
      </x:c>
      <x:c r="I181" s="58" t="str">
        <x:v>일반 확인</x:v>
      </x:c>
      <x:c r="J181" s="58" t="str">
        <x:v>입국 조건 안내</x:v>
      </x:c>
      <x:c r="K181" s="60" t="str">
        <x:v>외교부 기준·갱신 확인 필요</x:v>
      </x:c>
      <x:c r="L181" s="56" t="str">
        <x:f>IF(K181="공식 확인 완료","게시 가능","게시 금지")</x:f>
        <x:v>게시 금지</x:v>
      </x:c>
      <x:c r="M181" s="56" t="str">
        <x:v>P2</x:v>
      </x:c>
      <x:c r="N181" s="61" t="str"/>
      <x:c r="O181" s="61" t="str">
        <x:v>https://www.passportindex.org/passport/south-korea/</x:v>
      </x:c>
      <x:c r="P181" s="62"/>
      <x:c r="Q181" s="56" t="str">
        <x:f>IF(P181="","미검증",IF(TODAY()-P181&lt;=90,"최신",IF(TODAY()-P181&lt;=180,"갱신 예정","갱신 필요")))</x:f>
        <x:v>미검증</x:v>
      </x:c>
      <x:c r="R181" s="58" t="str"/>
    </x:row>
    <x:row r="182">
      <x:c r="A182" s="56" t="str">
        <x:v>유럽</x:v>
      </x:c>
      <x:c r="B182" s="56" t="str">
        <x:v>아르메니아</x:v>
      </x:c>
      <x:c r="C182" s="56" t="str">
        <x:v>180일</x:v>
      </x:c>
      <x:c r="D182" s="58" t="str">
        <x:v>외교관여권 소지자 : 일방적면제, 협정상은 90일 관용여권 소지자 : 일방적면제, 협정상은 90일 일반여권 소지자 : 일방</x:v>
      </x:c>
      <x:c r="E182" s="56" t="str">
        <x:v>비자 불필요</x:v>
      </x:c>
      <x:c r="F182" s="59" t="str">
        <x:v>무사증</x:v>
      </x:c>
      <x:c r="G182" s="56" t="str">
        <x:v>아니오</x:v>
      </x:c>
      <x:c r="H182" s="58" t="str">
        <x:v>180일</x:v>
      </x:c>
      <x:c r="I182" s="58" t="str">
        <x:v>일반 확인</x:v>
      </x:c>
      <x:c r="J182" s="58" t="str">
        <x:v>입국 조건 안내</x:v>
      </x:c>
      <x:c r="K182" s="60" t="str">
        <x:v>외교부 기준·갱신 확인 필요</x:v>
      </x:c>
      <x:c r="L182" s="56" t="str">
        <x:f>IF(K182="공식 확인 완료","게시 가능","게시 금지")</x:f>
        <x:v>게시 금지</x:v>
      </x:c>
      <x:c r="M182" s="56" t="str">
        <x:v>P2</x:v>
      </x:c>
      <x:c r="N182" s="61" t="str"/>
      <x:c r="O182" s="61" t="str">
        <x:v>https://www.passportindex.org/passport/south-korea/</x:v>
      </x:c>
      <x:c r="P182" s="62"/>
      <x:c r="Q182" s="56" t="str">
        <x:f>IF(P182="","미검증",IF(TODAY()-P182&lt;=90,"최신",IF(TODAY()-P182&lt;=180,"갱신 예정","갱신 필요")))</x:f>
        <x:v>미검증</x:v>
      </x:c>
      <x:c r="R182" s="58" t="str"/>
    </x:row>
    <x:row r="183">
      <x:c r="A183" s="56" t="str">
        <x:v>유럽</x:v>
      </x:c>
      <x:c r="B183" s="56" t="str">
        <x:v>아이슬란드</x:v>
      </x:c>
      <x:c r="C183" s="56" t="str">
        <x:v>180일 중 90일</x:v>
      </x:c>
      <x:c r="D183" s="58" t="str">
        <x:v>외교관여권 소지자 : 협정 관용여권 소지자 : 협정 일반여권 소지자 : 협정</x:v>
      </x:c>
      <x:c r="E183" s="56" t="str">
        <x:v>비자 불필요</x:v>
      </x:c>
      <x:c r="F183" s="59" t="str">
        <x:v>무사증</x:v>
      </x:c>
      <x:c r="G183" s="56" t="str">
        <x:v>아니오</x:v>
      </x:c>
      <x:c r="H183" s="58" t="str">
        <x:v>180일 중 90일</x:v>
      </x:c>
      <x:c r="I183" s="58" t="str">
        <x:v>일반 확인</x:v>
      </x:c>
      <x:c r="J183" s="58" t="str">
        <x:v>입국 조건 안내</x:v>
      </x:c>
      <x:c r="K183" s="60" t="str">
        <x:v>외교부 기준·갱신 확인 필요</x:v>
      </x:c>
      <x:c r="L183" s="56" t="str">
        <x:f>IF(K183="공식 확인 완료","게시 가능","게시 금지")</x:f>
        <x:v>게시 금지</x:v>
      </x:c>
      <x:c r="M183" s="56" t="str">
        <x:v>P2</x:v>
      </x:c>
      <x:c r="N183" s="61" t="str"/>
      <x:c r="O183" s="61" t="str">
        <x:v>https://www.passportindex.org/passport/south-korea/</x:v>
      </x:c>
      <x:c r="P183" s="62"/>
      <x:c r="Q183" s="56" t="str">
        <x:f>IF(P183="","미검증",IF(TODAY()-P183&lt;=90,"최신",IF(TODAY()-P183&lt;=180,"갱신 예정","갱신 필요")))</x:f>
        <x:v>미검증</x:v>
      </x:c>
      <x:c r="R183" s="58" t="str"/>
    </x:row>
    <x:row r="184">
      <x:c r="A184" s="56" t="str">
        <x:v>유럽</x:v>
      </x:c>
      <x:c r="B184" s="56" t="str">
        <x:v>아일랜드</x:v>
      </x:c>
      <x:c r="C184" s="56" t="str">
        <x:v>90일</x:v>
      </x:c>
      <x:c r="D184" s="58" t="str">
        <x:v>외교관여권 소지자 : 협정 관용여권 소지자 : 협정 일반여권 소지자 : 협정</x:v>
      </x:c>
      <x:c r="E184" s="56" t="str">
        <x:v>비자 불필요</x:v>
      </x:c>
      <x:c r="F184" s="59" t="str">
        <x:v>무사증</x:v>
      </x:c>
      <x:c r="G184" s="56" t="str">
        <x:v>아니오</x:v>
      </x:c>
      <x:c r="H184" s="58" t="str">
        <x:v>90일</x:v>
      </x:c>
      <x:c r="I184" s="58" t="str">
        <x:v>일반 확인</x:v>
      </x:c>
      <x:c r="J184" s="58" t="str">
        <x:v>입국 조건 안내</x:v>
      </x:c>
      <x:c r="K184" s="60" t="str">
        <x:v>외교부 기준·갱신 확인 필요</x:v>
      </x:c>
      <x:c r="L184" s="56" t="str">
        <x:f>IF(K184="공식 확인 완료","게시 가능","게시 금지")</x:f>
        <x:v>게시 금지</x:v>
      </x:c>
      <x:c r="M184" s="56" t="str">
        <x:v>P2</x:v>
      </x:c>
      <x:c r="N184" s="61" t="str"/>
      <x:c r="O184" s="61" t="str">
        <x:v>https://www.passportindex.org/passport/south-korea/</x:v>
      </x:c>
      <x:c r="P184" s="62"/>
      <x:c r="Q184" s="56" t="str">
        <x:f>IF(P184="","미검증",IF(TODAY()-P184&lt;=90,"최신",IF(TODAY()-P184&lt;=180,"갱신 예정","갱신 필요")))</x:f>
        <x:v>미검증</x:v>
      </x:c>
      <x:c r="R184" s="58" t="str"/>
    </x:row>
    <x:row r="185">
      <x:c r="A185" s="56" t="str">
        <x:v>유럽</x:v>
      </x:c>
      <x:c r="B185" s="56" t="str">
        <x:v>아제르바이잔</x:v>
      </x:c>
      <x:c r="C185" s="56" t="str">
        <x:v>X</x:v>
      </x:c>
      <x:c r="D185" s="58" t="str">
        <x:v>외교관여권 소지자 : 협정 관용여권 소지자 : 협정</x:v>
      </x:c>
      <x:c r="E185" s="56" t="str">
        <x:v>비자 불필요</x:v>
      </x:c>
      <x:c r="F185" s="59" t="str">
        <x:v>무사증</x:v>
      </x:c>
      <x:c r="G185" s="56" t="str">
        <x:v>아니오</x:v>
      </x:c>
      <x:c r="H185" s="58" t="str">
        <x:v>최대 30일</x:v>
      </x:c>
      <x:c r="I185" s="58" t="str">
        <x:v>일반 확인</x:v>
      </x:c>
      <x:c r="J185" s="58" t="str">
        <x:v>입국 조건 안내</x:v>
      </x:c>
      <x:c r="K185" s="60" t="str">
        <x:v>보조자료 분류·공식 확인 필요</x:v>
      </x:c>
      <x:c r="L185" s="56" t="str">
        <x:f>IF(K185="공식 확인 완료","게시 가능","게시 금지")</x:f>
        <x:v>게시 금지</x:v>
      </x:c>
      <x:c r="M185" s="56" t="str">
        <x:v>P2</x:v>
      </x:c>
      <x:c r="N185" s="61" t="str"/>
      <x:c r="O185" s="61" t="str">
        <x:v>https://www.passportindex.org/passport/south-korea/</x:v>
      </x:c>
      <x:c r="P185" s="62"/>
      <x:c r="Q185" s="56" t="str">
        <x:f>IF(P185="","미검증",IF(TODAY()-P185&lt;=90,"최신",IF(TODAY()-P185&lt;=180,"갱신 예정","갱신 필요")))</x:f>
        <x:v>미검증</x:v>
      </x:c>
      <x:c r="R185" s="58" t="str">
        <x:v>2026 보조자료상 무사증; 공식 재확인 필요</x:v>
      </x:c>
    </x:row>
    <x:row r="186">
      <x:c r="A186" s="56" t="str">
        <x:v>유럽</x:v>
      </x:c>
      <x:c r="B186" s="56" t="str">
        <x:v>안도라</x:v>
      </x:c>
      <x:c r="C186" s="56" t="str">
        <x:v>90일</x:v>
      </x:c>
      <x:c r="D186" s="58" t="str">
        <x:v>외교관여권 소지자 : 일방적 면제 관용여권 소지자 : 일방적 면제 일반여권 소지자 : 일방적 면제</x:v>
      </x:c>
      <x:c r="E186" s="56" t="str">
        <x:v>비자 불필요</x:v>
      </x:c>
      <x:c r="F186" s="59" t="str">
        <x:v>무사증</x:v>
      </x:c>
      <x:c r="G186" s="56" t="str">
        <x:v>아니오</x:v>
      </x:c>
      <x:c r="H186" s="58" t="str">
        <x:v>90일</x:v>
      </x:c>
      <x:c r="I186" s="58" t="str">
        <x:v>일반 확인</x:v>
      </x:c>
      <x:c r="J186" s="58" t="str">
        <x:v>입국 조건 안내</x:v>
      </x:c>
      <x:c r="K186" s="60" t="str">
        <x:v>외교부 기준·갱신 확인 필요</x:v>
      </x:c>
      <x:c r="L186" s="56" t="str">
        <x:f>IF(K186="공식 확인 완료","게시 가능","게시 금지")</x:f>
        <x:v>게시 금지</x:v>
      </x:c>
      <x:c r="M186" s="56" t="str">
        <x:v>P2</x:v>
      </x:c>
      <x:c r="N186" s="61" t="str"/>
      <x:c r="O186" s="61" t="str">
        <x:v>https://www.passportindex.org/passport/south-korea/</x:v>
      </x:c>
      <x:c r="P186" s="62"/>
      <x:c r="Q186" s="56" t="str">
        <x:f>IF(P186="","미검증",IF(TODAY()-P186&lt;=90,"최신",IF(TODAY()-P186&lt;=180,"갱신 예정","갱신 필요")))</x:f>
        <x:v>미검증</x:v>
      </x:c>
      <x:c r="R186" s="58" t="str"/>
    </x:row>
    <x:row r="187">
      <x:c r="A187" s="56" t="str">
        <x:v>유럽</x:v>
      </x:c>
      <x:c r="B187" s="56" t="str">
        <x:v>알바니아</x:v>
      </x:c>
      <x:c r="C187" s="56" t="str">
        <x:v>90일</x:v>
      </x:c>
      <x:c r="D187" s="58" t="str">
        <x:v>외교관여권 소지자 : 상호 관용여권 소지자 : 상호 일반여권 소지자 : 상호</x:v>
      </x:c>
      <x:c r="E187" s="56" t="str">
        <x:v>비자 불필요</x:v>
      </x:c>
      <x:c r="F187" s="59" t="str">
        <x:v>무사증</x:v>
      </x:c>
      <x:c r="G187" s="56" t="str">
        <x:v>아니오</x:v>
      </x:c>
      <x:c r="H187" s="58" t="str">
        <x:v>90일</x:v>
      </x:c>
      <x:c r="I187" s="58" t="str">
        <x:v>일반 확인</x:v>
      </x:c>
      <x:c r="J187" s="58" t="str">
        <x:v>입국 조건 안내</x:v>
      </x:c>
      <x:c r="K187" s="60" t="str">
        <x:v>외교부 기준·갱신 확인 필요</x:v>
      </x:c>
      <x:c r="L187" s="56" t="str">
        <x:f>IF(K187="공식 확인 완료","게시 가능","게시 금지")</x:f>
        <x:v>게시 금지</x:v>
      </x:c>
      <x:c r="M187" s="56" t="str">
        <x:v>P2</x:v>
      </x:c>
      <x:c r="N187" s="61" t="str"/>
      <x:c r="O187" s="61" t="str">
        <x:v>https://www.passportindex.org/passport/south-korea/</x:v>
      </x:c>
      <x:c r="P187" s="62"/>
      <x:c r="Q187" s="56" t="str">
        <x:f>IF(P187="","미검증",IF(TODAY()-P187&lt;=90,"최신",IF(TODAY()-P187&lt;=180,"갱신 예정","갱신 필요")))</x:f>
        <x:v>미검증</x:v>
      </x:c>
      <x:c r="R187" s="58" t="str"/>
    </x:row>
    <x:row r="188">
      <x:c r="A188" s="56" t="str">
        <x:v>유럽</x:v>
      </x:c>
      <x:c r="B188" s="56" t="str">
        <x:v>에스토니아</x:v>
      </x:c>
      <x:c r="C188" s="56" t="str">
        <x:v>180일 중 90일</x:v>
      </x:c>
      <x:c r="D188" s="58" t="str">
        <x:v>외교관여권 소지자 : 협정 관용여권 소지자 : 협정 일반여권 소지자 : 협정</x:v>
      </x:c>
      <x:c r="E188" s="56" t="str">
        <x:v>비자 불필요</x:v>
      </x:c>
      <x:c r="F188" s="59" t="str">
        <x:v>무사증</x:v>
      </x:c>
      <x:c r="G188" s="56" t="str">
        <x:v>아니오</x:v>
      </x:c>
      <x:c r="H188" s="58" t="str">
        <x:v>180일 중 90일</x:v>
      </x:c>
      <x:c r="I188" s="58" t="str">
        <x:v>일반 확인</x:v>
      </x:c>
      <x:c r="J188" s="58" t="str">
        <x:v>입국 조건 안내</x:v>
      </x:c>
      <x:c r="K188" s="60" t="str">
        <x:v>외교부 기준·갱신 확인 필요</x:v>
      </x:c>
      <x:c r="L188" s="56" t="str">
        <x:f>IF(K188="공식 확인 완료","게시 가능","게시 금지")</x:f>
        <x:v>게시 금지</x:v>
      </x:c>
      <x:c r="M188" s="56" t="str">
        <x:v>P2</x:v>
      </x:c>
      <x:c r="N188" s="61" t="str"/>
      <x:c r="O188" s="61" t="str">
        <x:v>https://www.passportindex.org/passport/south-korea/</x:v>
      </x:c>
      <x:c r="P188" s="62"/>
      <x:c r="Q188" s="56" t="str">
        <x:f>IF(P188="","미검증",IF(TODAY()-P188&lt;=90,"최신",IF(TODAY()-P188&lt;=180,"갱신 예정","갱신 필요")))</x:f>
        <x:v>미검증</x:v>
      </x:c>
      <x:c r="R188" s="58" t="str"/>
    </x:row>
    <x:row r="189">
      <x:c r="A189" s="56" t="str">
        <x:v>유럽</x:v>
      </x:c>
      <x:c r="B189" s="56" t="str">
        <x:v>영국</x:v>
      </x:c>
      <x:c r="C189" s="56" t="str">
        <x:v>6개월</x:v>
      </x:c>
      <x:c r="D189" s="58" t="str">
        <x:v>외교관여권 소지자 : 협정 관용여권 소지자 : 협정 일반여권 소지자 : 협정</x:v>
      </x:c>
      <x:c r="E189" s="56" t="str">
        <x:v>비자는 아니나 사전허가 필요</x:v>
      </x:c>
      <x:c r="F189" s="59" t="str">
        <x:v>전자여행허가(ETA)</x:v>
      </x:c>
      <x:c r="G189" s="56" t="str">
        <x:v>예</x:v>
      </x:c>
      <x:c r="H189" s="58" t="str">
        <x:v>최대 6개월</x:v>
      </x:c>
      <x:c r="I189" s="58" t="str">
        <x:v>일반 확인</x:v>
      </x:c>
      <x:c r="J189" s="58" t="str">
        <x:v>신청서 작성 보조</x:v>
      </x:c>
      <x:c r="K189" s="60" t="str">
        <x:v>공식 확인 완료</x:v>
      </x:c>
      <x:c r="L189" s="56" t="str">
        <x:f>IF(K189="공식 확인 완료","게시 가능","게시 금지")</x:f>
        <x:v>게시 가능</x:v>
      </x:c>
      <x:c r="M189" s="56" t="str">
        <x:v>P2</x:v>
      </x:c>
      <x:c r="N189" s="61" t="str">
        <x:v>https://www.gov.uk/guidance/immigration-rules/immigration-rules-appendix-eta-national-list</x:v>
      </x:c>
      <x:c r="O189" s="61" t="str"/>
      <x:c r="P189" s="62" t="n">
        <x:v>46258</x:v>
      </x:c>
      <x:c r="Q189" s="56" t="str">
        <x:f>IF(P189="","미검증",IF(TODAY()-P189&lt;=90,"최신",IF(TODAY()-P189&lt;=180,"갱신 예정","갱신 필요")))</x:f>
        <x:v>최신</x:v>
      </x:c>
      <x:c r="R189" s="58" t="str">
        <x:v>UK ETA 필요</x:v>
      </x:c>
    </x:row>
    <x:row r="190">
      <x:c r="A190" s="56" t="str">
        <x:v>유럽</x:v>
      </x:c>
      <x:c r="B190" s="56" t="str">
        <x:v>오스트리아</x:v>
      </x:c>
      <x:c r="C190" s="56" t="str">
        <x:v>90일</x:v>
      </x:c>
      <x:c r="D190" s="58" t="str">
        <x:v>외교관여권 소지자 : 협정 관용여권 소지자 : 협정 일반여권 소지자 : 협정</x:v>
      </x:c>
      <x:c r="E190" s="56" t="str">
        <x:v>비자 불필요</x:v>
      </x:c>
      <x:c r="F190" s="59" t="str">
        <x:v>무사증</x:v>
      </x:c>
      <x:c r="G190" s="56" t="str">
        <x:v>아니오</x:v>
      </x:c>
      <x:c r="H190" s="58" t="str">
        <x:v>90일</x:v>
      </x:c>
      <x:c r="I190" s="58" t="str">
        <x:v>일반 확인</x:v>
      </x:c>
      <x:c r="J190" s="58" t="str">
        <x:v>입국 조건 안내</x:v>
      </x:c>
      <x:c r="K190" s="60" t="str">
        <x:v>외교부 기준·갱신 확인 필요</x:v>
      </x:c>
      <x:c r="L190" s="56" t="str">
        <x:f>IF(K190="공식 확인 완료","게시 가능","게시 금지")</x:f>
        <x:v>게시 금지</x:v>
      </x:c>
      <x:c r="M190" s="56" t="str">
        <x:v>P2</x:v>
      </x:c>
      <x:c r="N190" s="61" t="str"/>
      <x:c r="O190" s="61" t="str">
        <x:v>https://www.passportindex.org/passport/south-korea/</x:v>
      </x:c>
      <x:c r="P190" s="62"/>
      <x:c r="Q190" s="56" t="str">
        <x:f>IF(P190="","미검증",IF(TODAY()-P190&lt;=90,"최신",IF(TODAY()-P190&lt;=180,"갱신 예정","갱신 필요")))</x:f>
        <x:v>미검증</x:v>
      </x:c>
      <x:c r="R190" s="58" t="str"/>
    </x:row>
    <x:row r="191">
      <x:c r="A191" s="56" t="str">
        <x:v>유럽</x:v>
      </x:c>
      <x:c r="B191" s="56" t="str">
        <x:v>우즈베키스탄</x:v>
      </x:c>
      <x:c r="C191" s="56" t="str">
        <x:v>30일</x:v>
      </x:c>
      <x:c r="D191" s="58" t="str">
        <x:v>외교관여권 소지자 : 협정 관용여권 소지자 : 일방 일반여권 소지자 : 일방</x:v>
      </x:c>
      <x:c r="E191" s="56" t="str">
        <x:v>비자 불필요</x:v>
      </x:c>
      <x:c r="F191" s="59" t="str">
        <x:v>무사증</x:v>
      </x:c>
      <x:c r="G191" s="56" t="str">
        <x:v>아니오</x:v>
      </x:c>
      <x:c r="H191" s="58" t="str">
        <x:v>30일</x:v>
      </x:c>
      <x:c r="I191" s="58" t="str">
        <x:v>일반 확인</x:v>
      </x:c>
      <x:c r="J191" s="58" t="str">
        <x:v>입국 조건 안내</x:v>
      </x:c>
      <x:c r="K191" s="60" t="str">
        <x:v>외교부 기준·갱신 확인 필요</x:v>
      </x:c>
      <x:c r="L191" s="56" t="str">
        <x:f>IF(K191="공식 확인 완료","게시 가능","게시 금지")</x:f>
        <x:v>게시 금지</x:v>
      </x:c>
      <x:c r="M191" s="56" t="str">
        <x:v>P2</x:v>
      </x:c>
      <x:c r="N191" s="61" t="str"/>
      <x:c r="O191" s="61" t="str">
        <x:v>https://www.passportindex.org/passport/south-korea/</x:v>
      </x:c>
      <x:c r="P191" s="62"/>
      <x:c r="Q191" s="56" t="str">
        <x:f>IF(P191="","미검증",IF(TODAY()-P191&lt;=90,"최신",IF(TODAY()-P191&lt;=180,"갱신 예정","갱신 필요")))</x:f>
        <x:v>미검증</x:v>
      </x:c>
      <x:c r="R191" s="58" t="str"/>
    </x:row>
    <x:row r="192">
      <x:c r="A192" s="56" t="str">
        <x:v>유럽</x:v>
      </x:c>
      <x:c r="B192" s="56" t="str">
        <x:v>우크라이나</x:v>
      </x:c>
      <x:c r="C192" s="56" t="str">
        <x:v>최종출국일로부터 역산하여 180일 이내 90일(합산)</x:v>
      </x:c>
      <x:c r="D192" s="58" t="str">
        <x:v>외교관여권 소지자 : 협정 관용여권 소지자 : 협정 일반여권 소지자 : 협정</x:v>
      </x:c>
      <x:c r="E192" s="56" t="str">
        <x:v>비자 불필요</x:v>
      </x:c>
      <x:c r="F192" s="59" t="str">
        <x:v>무사증</x:v>
      </x:c>
      <x:c r="G192" s="56" t="str">
        <x:v>아니오</x:v>
      </x:c>
      <x:c r="H192" s="58" t="str">
        <x:v>최종출국일로부터 역산하여 180일 이내 90일(합산)</x:v>
      </x:c>
      <x:c r="I192" s="58" t="str">
        <x:v>여권 사용 제한 대상</x:v>
      </x:c>
      <x:c r="J192" s="58" t="str">
        <x:v>입국 조건 안내</x:v>
      </x:c>
      <x:c r="K192" s="60" t="str">
        <x:v>외교부 기준·갱신 확인 필요</x:v>
      </x:c>
      <x:c r="L192" s="56" t="str">
        <x:f>IF(K192="공식 확인 완료","게시 가능","게시 금지")</x:f>
        <x:v>게시 금지</x:v>
      </x:c>
      <x:c r="M192" s="56" t="str">
        <x:v>P2</x:v>
      </x:c>
      <x:c r="N192" s="61" t="str"/>
      <x:c r="O192" s="61" t="str">
        <x:v>https://www.passportindex.org/passport/south-korea/</x:v>
      </x:c>
      <x:c r="P192" s="62"/>
      <x:c r="Q192" s="56" t="str">
        <x:f>IF(P192="","미검증",IF(TODAY()-P192&lt;=90,"최신",IF(TODAY()-P192&lt;=180,"갱신 예정","갱신 필요")))</x:f>
        <x:v>미검증</x:v>
      </x:c>
      <x:c r="R192" s="58" t="str"/>
    </x:row>
    <x:row r="193">
      <x:c r="A193" s="56" t="str">
        <x:v>유럽</x:v>
      </x:c>
      <x:c r="B193" s="56" t="str">
        <x:v>이탈리아</x:v>
      </x:c>
      <x:c r="C193" s="56" t="str">
        <x:v>90일</x:v>
      </x:c>
      <x:c r="D193" s="58" t="str">
        <x:v>외교관여권 소지자 : 협정 관용여권 소지자 : 협정 일반여권 소지자 : 협정</x:v>
      </x:c>
      <x:c r="E193" s="56" t="str">
        <x:v>비자 불필요</x:v>
      </x:c>
      <x:c r="F193" s="59" t="str">
        <x:v>무사증</x:v>
      </x:c>
      <x:c r="G193" s="56" t="str">
        <x:v>아니오</x:v>
      </x:c>
      <x:c r="H193" s="58" t="str">
        <x:v>90일</x:v>
      </x:c>
      <x:c r="I193" s="58" t="str">
        <x:v>일반 확인</x:v>
      </x:c>
      <x:c r="J193" s="58" t="str">
        <x:v>입국 조건 안내</x:v>
      </x:c>
      <x:c r="K193" s="60" t="str">
        <x:v>외교부 기준·갱신 확인 필요</x:v>
      </x:c>
      <x:c r="L193" s="56" t="str">
        <x:f>IF(K193="공식 확인 완료","게시 가능","게시 금지")</x:f>
        <x:v>게시 금지</x:v>
      </x:c>
      <x:c r="M193" s="56" t="str">
        <x:v>P2</x:v>
      </x:c>
      <x:c r="N193" s="61" t="str"/>
      <x:c r="O193" s="61" t="str">
        <x:v>https://www.passportindex.org/passport/south-korea/</x:v>
      </x:c>
      <x:c r="P193" s="62"/>
      <x:c r="Q193" s="56" t="str">
        <x:f>IF(P193="","미검증",IF(TODAY()-P193&lt;=90,"최신",IF(TODAY()-P193&lt;=180,"갱신 예정","갱신 필요")))</x:f>
        <x:v>미검증</x:v>
      </x:c>
      <x:c r="R193" s="58" t="str"/>
    </x:row>
    <x:row r="194">
      <x:c r="A194" s="56" t="str">
        <x:v>유럽</x:v>
      </x:c>
      <x:c r="B194" s="56" t="str">
        <x:v>조지아</x:v>
      </x:c>
      <x:c r="C194" s="56" t="str">
        <x:v>365일, 일방</x:v>
      </x:c>
      <x:c r="D194" s="58" t="str">
        <x:v>외교관여권 소지자 : 협정 관용여권 소지자 : 협정 일반여권 소지자 : 협정</x:v>
      </x:c>
      <x:c r="E194" s="56" t="str">
        <x:v>비자 불필요</x:v>
      </x:c>
      <x:c r="F194" s="59" t="str">
        <x:v>무사증</x:v>
      </x:c>
      <x:c r="G194" s="56" t="str">
        <x:v>아니오</x:v>
      </x:c>
      <x:c r="H194" s="58" t="str">
        <x:v>365일, 일방</x:v>
      </x:c>
      <x:c r="I194" s="58" t="str">
        <x:v>일반 확인</x:v>
      </x:c>
      <x:c r="J194" s="58" t="str">
        <x:v>입국 조건 안내</x:v>
      </x:c>
      <x:c r="K194" s="60" t="str">
        <x:v>외교부 기준·갱신 확인 필요</x:v>
      </x:c>
      <x:c r="L194" s="56" t="str">
        <x:f>IF(K194="공식 확인 완료","게시 가능","게시 금지")</x:f>
        <x:v>게시 금지</x:v>
      </x:c>
      <x:c r="M194" s="56" t="str">
        <x:v>P2</x:v>
      </x:c>
      <x:c r="N194" s="61" t="str"/>
      <x:c r="O194" s="61" t="str">
        <x:v>https://www.passportindex.org/passport/south-korea/</x:v>
      </x:c>
      <x:c r="P194" s="62"/>
      <x:c r="Q194" s="56" t="str">
        <x:f>IF(P194="","미검증",IF(TODAY()-P194&lt;=90,"최신",IF(TODAY()-P194&lt;=180,"갱신 예정","갱신 필요")))</x:f>
        <x:v>미검증</x:v>
      </x:c>
      <x:c r="R194" s="58" t="str"/>
    </x:row>
    <x:row r="195">
      <x:c r="A195" s="56" t="str">
        <x:v>유럽</x:v>
      </x:c>
      <x:c r="B195" s="56" t="str">
        <x:v>체코</x:v>
      </x:c>
      <x:c r="C195" s="56" t="str">
        <x:v>90일</x:v>
      </x:c>
      <x:c r="D195" s="58" t="str">
        <x:v>외교관여권 소지자 : 협정 관용여권 소지자 : 협정 일반여권 소지자 : 협정</x:v>
      </x:c>
      <x:c r="E195" s="56" t="str">
        <x:v>비자 불필요</x:v>
      </x:c>
      <x:c r="F195" s="59" t="str">
        <x:v>무사증</x:v>
      </x:c>
      <x:c r="G195" s="56" t="str">
        <x:v>아니오</x:v>
      </x:c>
      <x:c r="H195" s="58" t="str">
        <x:v>90일</x:v>
      </x:c>
      <x:c r="I195" s="58" t="str">
        <x:v>일반 확인</x:v>
      </x:c>
      <x:c r="J195" s="58" t="str">
        <x:v>입국 조건 안내</x:v>
      </x:c>
      <x:c r="K195" s="60" t="str">
        <x:v>외교부 기준·갱신 확인 필요</x:v>
      </x:c>
      <x:c r="L195" s="56" t="str">
        <x:f>IF(K195="공식 확인 완료","게시 가능","게시 금지")</x:f>
        <x:v>게시 금지</x:v>
      </x:c>
      <x:c r="M195" s="56" t="str">
        <x:v>P2</x:v>
      </x:c>
      <x:c r="N195" s="61" t="str"/>
      <x:c r="O195" s="61" t="str">
        <x:v>https://www.passportindex.org/passport/south-korea/</x:v>
      </x:c>
      <x:c r="P195" s="62"/>
      <x:c r="Q195" s="56" t="str">
        <x:f>IF(P195="","미검증",IF(TODAY()-P195&lt;=90,"최신",IF(TODAY()-P195&lt;=180,"갱신 예정","갱신 필요")))</x:f>
        <x:v>미검증</x:v>
      </x:c>
      <x:c r="R195" s="58" t="str"/>
    </x:row>
    <x:row r="196">
      <x:c r="A196" s="56" t="str">
        <x:v>유럽</x:v>
      </x:c>
      <x:c r="B196" s="56" t="str">
        <x:v>코소보</x:v>
      </x:c>
      <x:c r="C196" s="56" t="str">
        <x:v>90일</x:v>
      </x:c>
      <x:c r="D196" s="58" t="str">
        <x:v>외교관여권 소지자 : 일방적 면제 관용여권 소지자 : 일방적 면제 일반여권 소지자 : 일방적 면제</x:v>
      </x:c>
      <x:c r="E196" s="56" t="str">
        <x:v>비자 불필요</x:v>
      </x:c>
      <x:c r="F196" s="59" t="str">
        <x:v>무사증</x:v>
      </x:c>
      <x:c r="G196" s="56" t="str">
        <x:v>아니오</x:v>
      </x:c>
      <x:c r="H196" s="58" t="str">
        <x:v>90일</x:v>
      </x:c>
      <x:c r="I196" s="58" t="str">
        <x:v>일반 확인</x:v>
      </x:c>
      <x:c r="J196" s="58" t="str">
        <x:v>입국 조건 안내</x:v>
      </x:c>
      <x:c r="K196" s="60" t="str">
        <x:v>외교부 기준·갱신 확인 필요</x:v>
      </x:c>
      <x:c r="L196" s="56" t="str">
        <x:f>IF(K196="공식 확인 완료","게시 가능","게시 금지")</x:f>
        <x:v>게시 금지</x:v>
      </x:c>
      <x:c r="M196" s="56" t="str">
        <x:v>P2</x:v>
      </x:c>
      <x:c r="N196" s="61" t="str"/>
      <x:c r="O196" s="61" t="str">
        <x:v>https://www.passportindex.org/passport/south-korea/</x:v>
      </x:c>
      <x:c r="P196" s="62"/>
      <x:c r="Q196" s="56" t="str">
        <x:f>IF(P196="","미검증",IF(TODAY()-P196&lt;=90,"최신",IF(TODAY()-P196&lt;=180,"갱신 예정","갱신 필요")))</x:f>
        <x:v>미검증</x:v>
      </x:c>
      <x:c r="R196" s="58" t="str"/>
    </x:row>
    <x:row r="197">
      <x:c r="A197" s="56" t="str">
        <x:v>유럽</x:v>
      </x:c>
      <x:c r="B197" s="56" t="str">
        <x:v>크로아티아</x:v>
      </x:c>
      <x:c r="C197" s="56" t="str">
        <x:v>90일</x:v>
      </x:c>
      <x:c r="D197" s="58" t="str">
        <x:v>외교관여권 소지자 : 협정 관용여권 소지자 : 협정 일반여권 소지자 : 상호주의</x:v>
      </x:c>
      <x:c r="E197" s="56" t="str">
        <x:v>비자 불필요</x:v>
      </x:c>
      <x:c r="F197" s="59" t="str">
        <x:v>무사증</x:v>
      </x:c>
      <x:c r="G197" s="56" t="str">
        <x:v>아니오</x:v>
      </x:c>
      <x:c r="H197" s="58" t="str">
        <x:v>90일</x:v>
      </x:c>
      <x:c r="I197" s="58" t="str">
        <x:v>일반 확인</x:v>
      </x:c>
      <x:c r="J197" s="58" t="str">
        <x:v>입국 조건 안내</x:v>
      </x:c>
      <x:c r="K197" s="60" t="str">
        <x:v>외교부 기준·갱신 확인 필요</x:v>
      </x:c>
      <x:c r="L197" s="56" t="str">
        <x:f>IF(K197="공식 확인 완료","게시 가능","게시 금지")</x:f>
        <x:v>게시 금지</x:v>
      </x:c>
      <x:c r="M197" s="56" t="str">
        <x:v>P2</x:v>
      </x:c>
      <x:c r="N197" s="61" t="str"/>
      <x:c r="O197" s="61" t="str">
        <x:v>https://www.passportindex.org/passport/south-korea/</x:v>
      </x:c>
      <x:c r="P197" s="62"/>
      <x:c r="Q197" s="56" t="str">
        <x:f>IF(P197="","미검증",IF(TODAY()-P197&lt;=90,"최신",IF(TODAY()-P197&lt;=180,"갱신 예정","갱신 필요")))</x:f>
        <x:v>미검증</x:v>
      </x:c>
      <x:c r="R197" s="58" t="str"/>
    </x:row>
    <x:row r="198">
      <x:c r="A198" s="56" t="str">
        <x:v>유럽</x:v>
      </x:c>
      <x:c r="B198" s="56" t="str">
        <x:v>튀르키예</x:v>
      </x:c>
      <x:c r="C198" s="56" t="str">
        <x:v>180일 중 90일</x:v>
      </x:c>
      <x:c r="D198" s="58" t="str">
        <x:v>외교관여권 소지자 : 협정 관용여권 소지자 : 협정 일반여권 소지자 : 협정</x:v>
      </x:c>
      <x:c r="E198" s="56" t="str">
        <x:v>비자 불필요</x:v>
      </x:c>
      <x:c r="F198" s="59" t="str">
        <x:v>무사증</x:v>
      </x:c>
      <x:c r="G198" s="56" t="str">
        <x:v>아니오</x:v>
      </x:c>
      <x:c r="H198" s="58" t="str">
        <x:v>180일 중 90일</x:v>
      </x:c>
      <x:c r="I198" s="58" t="str">
        <x:v>일반 확인</x:v>
      </x:c>
      <x:c r="J198" s="58" t="str">
        <x:v>입국 조건 안내</x:v>
      </x:c>
      <x:c r="K198" s="60" t="str">
        <x:v>외교부 기준·갱신 확인 필요</x:v>
      </x:c>
      <x:c r="L198" s="56" t="str">
        <x:f>IF(K198="공식 확인 완료","게시 가능","게시 금지")</x:f>
        <x:v>게시 금지</x:v>
      </x:c>
      <x:c r="M198" s="56" t="str">
        <x:v>P2</x:v>
      </x:c>
      <x:c r="N198" s="61" t="str"/>
      <x:c r="O198" s="61" t="str">
        <x:v>https://www.passportindex.org/passport/south-korea/</x:v>
      </x:c>
      <x:c r="P198" s="62"/>
      <x:c r="Q198" s="56" t="str">
        <x:f>IF(P198="","미검증",IF(TODAY()-P198&lt;=90,"최신",IF(TODAY()-P198&lt;=180,"갱신 예정","갱신 필요")))</x:f>
        <x:v>미검증</x:v>
      </x:c>
      <x:c r="R198" s="58" t="str"/>
    </x:row>
    <x:row r="199">
      <x:c r="A199" s="56" t="str">
        <x:v>유럽</x:v>
      </x:c>
      <x:c r="B199" s="56" t="str">
        <x:v>포르투갈</x:v>
      </x:c>
      <x:c r="C199" s="56" t="str">
        <x:v>180일 중 90일</x:v>
      </x:c>
      <x:c r="D199" s="58" t="str">
        <x:v>외교관여권 소지자 : 협정 관용여권 소지자 : 협정 일반여권 소지자 : 협정</x:v>
      </x:c>
      <x:c r="E199" s="56" t="str">
        <x:v>비자 불필요</x:v>
      </x:c>
      <x:c r="F199" s="59" t="str">
        <x:v>무사증</x:v>
      </x:c>
      <x:c r="G199" s="56" t="str">
        <x:v>아니오</x:v>
      </x:c>
      <x:c r="H199" s="58" t="str">
        <x:v>180일 중 90일</x:v>
      </x:c>
      <x:c r="I199" s="58" t="str">
        <x:v>일반 확인</x:v>
      </x:c>
      <x:c r="J199" s="58" t="str">
        <x:v>입국 조건 안내</x:v>
      </x:c>
      <x:c r="K199" s="60" t="str">
        <x:v>외교부 기준·갱신 확인 필요</x:v>
      </x:c>
      <x:c r="L199" s="56" t="str">
        <x:f>IF(K199="공식 확인 완료","게시 가능","게시 금지")</x:f>
        <x:v>게시 금지</x:v>
      </x:c>
      <x:c r="M199" s="56" t="str">
        <x:v>P2</x:v>
      </x:c>
      <x:c r="N199" s="61" t="str"/>
      <x:c r="O199" s="61" t="str">
        <x:v>https://www.passportindex.org/passport/south-korea/</x:v>
      </x:c>
      <x:c r="P199" s="62"/>
      <x:c r="Q199" s="56" t="str">
        <x:f>IF(P199="","미검증",IF(TODAY()-P199&lt;=90,"최신",IF(TODAY()-P199&lt;=180,"갱신 예정","갱신 필요")))</x:f>
        <x:v>미검증</x:v>
      </x:c>
      <x:c r="R199" s="58" t="str"/>
    </x:row>
    <x:row r="200">
      <x:c r="A200" s="56" t="str">
        <x:v>유럽</x:v>
      </x:c>
      <x:c r="B200" s="56" t="str">
        <x:v>폴란드</x:v>
      </x:c>
      <x:c r="C200" s="56" t="str">
        <x:v>90일</x:v>
      </x:c>
      <x:c r="D200" s="58" t="str">
        <x:v>외교관여권 소지자 : 협정 관용여권 소지자 : 협정 일반여권 소지자 : 협정</x:v>
      </x:c>
      <x:c r="E200" s="56" t="str">
        <x:v>비자 불필요</x:v>
      </x:c>
      <x:c r="F200" s="59" t="str">
        <x:v>무사증</x:v>
      </x:c>
      <x:c r="G200" s="56" t="str">
        <x:v>아니오</x:v>
      </x:c>
      <x:c r="H200" s="58" t="str">
        <x:v>90일</x:v>
      </x:c>
      <x:c r="I200" s="58" t="str">
        <x:v>일반 확인</x:v>
      </x:c>
      <x:c r="J200" s="58" t="str">
        <x:v>입국 조건 안내</x:v>
      </x:c>
      <x:c r="K200" s="60" t="str">
        <x:v>외교부 기준·갱신 확인 필요</x:v>
      </x:c>
      <x:c r="L200" s="56" t="str">
        <x:f>IF(K200="공식 확인 완료","게시 가능","게시 금지")</x:f>
        <x:v>게시 금지</x:v>
      </x:c>
      <x:c r="M200" s="56" t="str">
        <x:v>P2</x:v>
      </x:c>
      <x:c r="N200" s="61" t="str"/>
      <x:c r="O200" s="61" t="str">
        <x:v>https://www.passportindex.org/passport/south-korea/</x:v>
      </x:c>
      <x:c r="P200" s="62"/>
      <x:c r="Q200" s="56" t="str">
        <x:f>IF(P200="","미검증",IF(TODAY()-P200&lt;=90,"최신",IF(TODAY()-P200&lt;=180,"갱신 예정","갱신 필요")))</x:f>
        <x:v>미검증</x:v>
      </x:c>
      <x:c r="R200" s="58" t="str"/>
    </x:row>
    <x:row r="201">
      <x:c r="A201" s="56" t="str">
        <x:v>유럽</x:v>
      </x:c>
      <x:c r="B201" s="56" t="str">
        <x:v>프랑스</x:v>
      </x:c>
      <x:c r="C201" s="56" t="str">
        <x:v>90일</x:v>
      </x:c>
      <x:c r="D201" s="58" t="str">
        <x:v>외교관여권 소지자 : 협정 관용여권 소지자 : 협정 일반여권 소지자 : 협정</x:v>
      </x:c>
      <x:c r="E201" s="56" t="str">
        <x:v>비자 불필요</x:v>
      </x:c>
      <x:c r="F201" s="59" t="str">
        <x:v>무사증</x:v>
      </x:c>
      <x:c r="G201" s="56" t="str">
        <x:v>아니오</x:v>
      </x:c>
      <x:c r="H201" s="58" t="str">
        <x:v>90일</x:v>
      </x:c>
      <x:c r="I201" s="58" t="str">
        <x:v>일반 확인</x:v>
      </x:c>
      <x:c r="J201" s="58" t="str">
        <x:v>입국 조건 안내</x:v>
      </x:c>
      <x:c r="K201" s="60" t="str">
        <x:v>외교부 기준·갱신 확인 필요</x:v>
      </x:c>
      <x:c r="L201" s="56" t="str">
        <x:f>IF(K201="공식 확인 완료","게시 가능","게시 금지")</x:f>
        <x:v>게시 금지</x:v>
      </x:c>
      <x:c r="M201" s="56" t="str">
        <x:v>P2</x:v>
      </x:c>
      <x:c r="N201" s="61" t="str"/>
      <x:c r="O201" s="61" t="str">
        <x:v>https://www.passportindex.org/passport/south-korea/</x:v>
      </x:c>
      <x:c r="P201" s="62"/>
      <x:c r="Q201" s="56" t="str">
        <x:f>IF(P201="","미검증",IF(TODAY()-P201&lt;=90,"최신",IF(TODAY()-P201&lt;=180,"갱신 예정","갱신 필요")))</x:f>
        <x:v>미검증</x:v>
      </x:c>
      <x:c r="R201" s="58" t="str"/>
    </x:row>
    <x:row r="202">
      <x:c r="A202" s="56" t="str">
        <x:v>유럽</x:v>
      </x:c>
      <x:c r="B202" s="56" t="str">
        <x:v>핀란드</x:v>
      </x:c>
      <x:c r="C202" s="56" t="str">
        <x:v>180일 중 90일</x:v>
      </x:c>
      <x:c r="D202" s="58" t="str">
        <x:v>외교관여권 소지자 : 협정 관용여권 소지자 : 협정 일반여권 소지자 : 협정</x:v>
      </x:c>
      <x:c r="E202" s="56" t="str">
        <x:v>비자 불필요</x:v>
      </x:c>
      <x:c r="F202" s="59" t="str">
        <x:v>무사증</x:v>
      </x:c>
      <x:c r="G202" s="56" t="str">
        <x:v>아니오</x:v>
      </x:c>
      <x:c r="H202" s="58" t="str">
        <x:v>180일 중 90일</x:v>
      </x:c>
      <x:c r="I202" s="58" t="str">
        <x:v>일반 확인</x:v>
      </x:c>
      <x:c r="J202" s="58" t="str">
        <x:v>입국 조건 안내</x:v>
      </x:c>
      <x:c r="K202" s="60" t="str">
        <x:v>외교부 기준·갱신 확인 필요</x:v>
      </x:c>
      <x:c r="L202" s="56" t="str">
        <x:f>IF(K202="공식 확인 완료","게시 가능","게시 금지")</x:f>
        <x:v>게시 금지</x:v>
      </x:c>
      <x:c r="M202" s="56" t="str">
        <x:v>P2</x:v>
      </x:c>
      <x:c r="N202" s="61" t="str"/>
      <x:c r="O202" s="61" t="str">
        <x:v>https://www.passportindex.org/passport/south-korea/</x:v>
      </x:c>
      <x:c r="P202" s="62"/>
      <x:c r="Q202" s="56" t="str">
        <x:f>IF(P202="","미검증",IF(TODAY()-P202&lt;=90,"최신",IF(TODAY()-P202&lt;=180,"갱신 예정","갱신 필요")))</x:f>
        <x:v>미검증</x:v>
      </x:c>
      <x:c r="R202" s="58" t="str"/>
    </x:row>
    <x:row r="203">
      <x:c r="A203" s="56" t="str">
        <x:v>유럽</x:v>
      </x:c>
      <x:c r="B203" s="56" t="str">
        <x:v>헝가리</x:v>
      </x:c>
      <x:c r="C203" s="56" t="str">
        <x:v>180일</x:v>
      </x:c>
      <x:c r="D203" s="58" t="str">
        <x:v>외교관여권 소지자 : 협정 관용여권 소지자 : 협정 일반여권 소지자 : 협정 · 외교관여권 소지자 : * 솅겐협약(90일) 이후 양자사증면제협정(90일) 적용받아, 최대 180일 무비자 체류가능 - 헝가리 입국시 솅겐협약 우선 적용 관용여권 소지자 : * 솅겐협약(90일) 이후 양자사증면제협정(90일) 적용받아, 최대 180일 무비자 체류가능 - 헝가리 입국시 솅겐협약 우선 적용 일반여권 소지자 : * 솅겐협약(90일) 이후 양자사증면제협정(90일) 적용받아, 최대 180일 무비자 체류가능 - 헝가리 입국시 솅겐협약 우선 적용</x:v>
      </x:c>
      <x:c r="E203" s="56" t="str">
        <x:v>비자 불필요</x:v>
      </x:c>
      <x:c r="F203" s="59" t="str">
        <x:v>무사증</x:v>
      </x:c>
      <x:c r="G203" s="56" t="str">
        <x:v>아니오</x:v>
      </x:c>
      <x:c r="H203" s="58" t="str">
        <x:v>180일</x:v>
      </x:c>
      <x:c r="I203" s="58" t="str">
        <x:v>일반 확인</x:v>
      </x:c>
      <x:c r="J203" s="58" t="str">
        <x:v>입국 조건 안내</x:v>
      </x:c>
      <x:c r="K203" s="60" t="str">
        <x:v>외교부 기준·갱신 확인 필요</x:v>
      </x:c>
      <x:c r="L203" s="56" t="str">
        <x:f>IF(K203="공식 확인 완료","게시 가능","게시 금지")</x:f>
        <x:v>게시 금지</x:v>
      </x:c>
      <x:c r="M203" s="56" t="str">
        <x:v>P2</x:v>
      </x:c>
      <x:c r="N203" s="61" t="str"/>
      <x:c r="O203" s="61" t="str">
        <x:v>https://www.passportindex.org/passport/south-korea/</x:v>
      </x:c>
      <x:c r="P203" s="62"/>
      <x:c r="Q203" s="56" t="str">
        <x:f>IF(P203="","미검증",IF(TODAY()-P203&lt;=90,"최신",IF(TODAY()-P203&lt;=180,"갱신 예정","갱신 필요")))</x:f>
        <x:v>미검증</x:v>
      </x:c>
      <x:c r="R203" s="58" t="str">
        <x:v>외교관여권 소지자 : * 솅겐협약(90일) 이후 양자사증면제협정(90일) 적용받아, 최대 180일 무비자 체류가능 - 헝가리 입국시 솅겐협약 우선 적용 관용여권 소지자 : * 솅겐협약(90일) 이후 양자사증면제협정(90일) 적용받아, 최대 180일 무비자 체류가능 - 헝가리 입국시 솅겐협약 우선 적용 일반여권 소지자 : * 솅겐협약(90일) 이후 양자사증면제협정(90일) 적용받아, 최대 180일 무비자 체류가능 - 헝가리 입국시 솅겐협약 우선 적용</x:v>
      </x:c>
    </x:row>
  </x:sheetData>
  <x:mergeCells>
    <x:mergeCell ref="A1:R2"/>
    <x:mergeCell ref="A3:R3"/>
  </x:mergeCells>
  <x:conditionalFormatting sqref="L5:L203">
    <x:cfRule type="containsText" dxfId="0" priority="1" operator="containsText" text="게시 가능"/>
    <x:cfRule type="containsText" dxfId="1" priority="2" operator="containsText" text="게시 금지"/>
  </x:conditionalFormatting>
  <x:conditionalFormatting sqref="M5:M203">
    <x:cfRule type="containsText" dxfId="2" priority="3" operator="containsText" text="P0"/>
    <x:cfRule type="containsText" dxfId="3" priority="4" operator="containsText" text="P1"/>
  </x:conditionalFormatting>
  <x:dataValidations count="3">
    <x:dataValidation type="list" sqref="F5:F203">
      <x:formula1>"무사증,무사증+입국등록,전자여행허가(ETA),전자비자(eVisa),도착비자,전자비자/도착비자,대사관·영사관 사전비자,특별허가/여행제한,공식 재확인 필요"</x:formula1>
    </x:dataValidation>
    <x:dataValidation type="list" sqref="K5:K203">
      <x:formula1>"공식 확인 완료,보조자료 분류·공식 확인 필요,외교부 기준·갱신 확인 필요"</x:formula1>
    </x:dataValidation>
    <x:dataValidation type="list" sqref="M5:M20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d0e3ce5f39f44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4" hidden="0" customWidth="1"/>
    <x:col min="5" max="5" width="26" hidden="0" customWidth="1"/>
    <x:col min="6" max="6" width="42" hidden="0" customWidth="1"/>
    <x:col min="7" max="7" width="42" hidden="0" customWidth="1"/>
    <x:col min="8" max="8" width="15" hidden="0" customWidth="1"/>
  </x:cols>
  <x:sheetData>
    <x:row r="1" ht="30" customHeight="1">
      <x:c r="A1" s="4" t="str">
        <x:v>공식 출처 검증 큐</x:v>
      </x:c>
      <x:c r="B1" s="4" t="str">
        <x:v>공식 출처 검증 큐</x:v>
      </x:c>
      <x:c r="C1" s="4" t="str">
        <x:v>공식 출처 검증 큐</x:v>
      </x:c>
      <x:c r="D1" s="4" t="str">
        <x:v>공식 출처 검증 큐</x:v>
      </x:c>
      <x:c r="E1" s="4" t="str">
        <x:v>공식 출처 검증 큐</x:v>
      </x:c>
      <x:c r="F1" s="4" t="str">
        <x:v>공식 출처 검증 큐</x:v>
      </x:c>
      <x:c r="G1" s="4" t="str">
        <x:v>공식 출처 검증 큐</x:v>
      </x:c>
      <x:c r="H1" s="4" t="str">
        <x:v>공식 출처 검증 큐</x:v>
      </x:c>
    </x:row>
    <x:row r="2" ht="30" customHeight="1">
      <x:c r="A2" s="4" t="str">
        <x:v>공식 출처 검증 큐</x:v>
      </x:c>
      <x:c r="B2" s="4" t="str">
        <x:v>공식 출처 검증 큐</x:v>
      </x:c>
      <x:c r="C2" s="4" t="str">
        <x:v>공식 출처 검증 큐</x:v>
      </x:c>
      <x:c r="D2" s="4" t="str">
        <x:v>공식 출처 검증 큐</x:v>
      </x:c>
      <x:c r="E2" s="4" t="str">
        <x:v>공식 출처 검증 큐</x:v>
      </x:c>
      <x:c r="F2" s="4" t="str">
        <x:v>공식 출처 검증 큐</x:v>
      </x:c>
      <x:c r="G2" s="4" t="str">
        <x:v>공식 출처 검증 큐</x:v>
      </x:c>
      <x:c r="H2" s="4" t="str">
        <x:v>공식 출처 검증 큐</x:v>
      </x:c>
    </x:row>
    <x:row r="3" ht="32" customHeight="1">
      <x:c r="A3" s="8" t="str">
        <x:v>P0 → P1 → P2 순서로 검증합니다. 이 시트는 국가 데이터의 작업 목록을 보여주는 뷰이며 직접 수정하지 않습니다.</x:v>
      </x:c>
      <x:c r="B3" s="8" t="str">
        <x:v>P0 → P1 → P2 순서로 검증합니다. 이 시트는 국가 데이터의 작업 목록을 보여주는 뷰이며 직접 수정하지 않습니다.</x:v>
      </x:c>
      <x:c r="C3" s="8" t="str">
        <x:v>P0 → P1 → P2 순서로 검증합니다. 이 시트는 국가 데이터의 작업 목록을 보여주는 뷰이며 직접 수정하지 않습니다.</x:v>
      </x:c>
      <x:c r="D3" s="8" t="str">
        <x:v>P0 → P1 → P2 순서로 검증합니다. 이 시트는 국가 데이터의 작업 목록을 보여주는 뷰이며 직접 수정하지 않습니다.</x:v>
      </x:c>
      <x:c r="E3" s="8" t="str">
        <x:v>P0 → P1 → P2 순서로 검증합니다. 이 시트는 국가 데이터의 작업 목록을 보여주는 뷰이며 직접 수정하지 않습니다.</x:v>
      </x:c>
      <x:c r="F3" s="8" t="str">
        <x:v>P0 → P1 → P2 순서로 검증합니다. 이 시트는 국가 데이터의 작업 목록을 보여주는 뷰이며 직접 수정하지 않습니다.</x:v>
      </x:c>
      <x:c r="G3" s="8" t="str">
        <x:v>P0 → P1 → P2 순서로 검증합니다. 이 시트는 국가 데이터의 작업 목록을 보여주는 뷰이며 직접 수정하지 않습니다.</x:v>
      </x:c>
      <x:c r="H3" s="8" t="str">
        <x:v>P0 → P1 → P2 순서로 검증합니다. 이 시트는 국가 데이터의 작업 목록을 보여주는 뷰이며 직접 수정하지 않습니다.</x:v>
      </x:c>
    </x:row>
    <x:row r="4">
      <x:c r="A4" s="51" t="str">
        <x:v>우선순위</x:v>
      </x:c>
      <x:c r="B4" s="51" t="str">
        <x:v>국가/지역</x:v>
      </x:c>
      <x:c r="C4" s="51" t="str">
        <x:v>현재 신청 경로</x:v>
      </x:c>
      <x:c r="D4" s="51" t="str">
        <x:v>출발 전 필수</x:v>
      </x:c>
      <x:c r="E4" s="51" t="str">
        <x:v>검증 상태</x:v>
      </x:c>
      <x:c r="F4" s="51" t="str">
        <x:v>공식 출처</x:v>
      </x:c>
      <x:c r="G4" s="51" t="str">
        <x:v>제품 메모</x:v>
      </x:c>
      <x:c r="H4" s="51" t="str">
        <x:v>마스터 행</x:v>
      </x:c>
    </x:row>
    <x:row r="5">
      <x:c r="A5" s="64" t="str">
        <x:f>IF('국가 데이터'!M88="","",'국가 데이터'!M88)</x:f>
        <x:v>P0</x:v>
      </x:c>
      <x:c r="B5" s="64" t="str">
        <x:f>IF('국가 데이터'!B88="","",'국가 데이터'!B88)</x:f>
        <x:v>가나</x:v>
      </x:c>
      <x:c r="C5" s="64" t="str">
        <x:f>IF('국가 데이터'!F88="","",'국가 데이터'!F88)</x:f>
        <x:v>전자비자(eVisa)</x:v>
      </x:c>
      <x:c r="D5" s="64" t="str">
        <x:f>IF('국가 데이터'!G88="","",'국가 데이터'!G88)</x:f>
        <x:v>예</x:v>
      </x:c>
      <x:c r="E5" s="64" t="str">
        <x:f>IF('국가 데이터'!K88="","",'국가 데이터'!K88)</x:f>
        <x:v>보조자료 분류·공식 확인 필요</x:v>
      </x:c>
      <x:c r="F5" s="65" t="str">
        <x:f>IF('국가 데이터'!N88="","",'국가 데이터'!N88)</x:f>
      </x:c>
      <x:c r="G5" s="65" t="str">
        <x:f>IF('국가 데이터'!R88="","",'국가 데이터'!R88)</x:f>
        <x:v>2026 전자비자 운영 보조자료 기준</x:v>
      </x:c>
      <x:c r="H5" s="64" t="str">
        <x:v>국가 데이터 88행</x:v>
      </x:c>
    </x:row>
    <x:row r="6">
      <x:c r="A6" s="64" t="str">
        <x:f>IF('국가 데이터'!M89="","",'국가 데이터'!M89)</x:f>
        <x:v>P0</x:v>
      </x:c>
      <x:c r="B6" s="64" t="str">
        <x:f>IF('국가 데이터'!B89="","",'국가 데이터'!B89)</x:f>
        <x:v>가봉</x:v>
      </x:c>
      <x:c r="C6" s="64" t="str">
        <x:f>IF('국가 데이터'!F89="","",'국가 데이터'!F89)</x:f>
        <x:v>전자비자(eVisa)</x:v>
      </x:c>
      <x:c r="D6" s="64" t="str">
        <x:f>IF('국가 데이터'!G89="","",'국가 데이터'!G89)</x:f>
        <x:v>예</x:v>
      </x:c>
      <x:c r="E6" s="64" t="str">
        <x:f>IF('국가 데이터'!K89="","",'국가 데이터'!K89)</x:f>
        <x:v>보조자료 분류·공식 확인 필요</x:v>
      </x:c>
      <x:c r="F6" s="65" t="str">
        <x:f>IF('국가 데이터'!N89="","",'국가 데이터'!N89)</x:f>
      </x:c>
      <x:c r="G6" s="65" t="str">
        <x:f>IF('국가 데이터'!R89="","",'국가 데이터'!R89)</x:f>
      </x:c>
      <x:c r="H6" s="64" t="str">
        <x:v>국가 데이터 89행</x:v>
      </x:c>
    </x:row>
    <x:row r="7">
      <x:c r="A7" s="64" t="str">
        <x:f>IF('국가 데이터'!M90="","",'국가 데이터'!M90)</x:f>
        <x:v>P0</x:v>
      </x:c>
      <x:c r="B7" s="64" t="str">
        <x:f>IF('국가 데이터'!B90="","",'국가 데이터'!B90)</x:f>
        <x:v>감비아</x:v>
      </x:c>
      <x:c r="C7" s="64" t="str">
        <x:f>IF('국가 데이터'!F90="","",'국가 데이터'!F90)</x:f>
        <x:v>대사관·영사관 사전비자</x:v>
      </x:c>
      <x:c r="D7" s="64" t="str">
        <x:f>IF('국가 데이터'!G90="","",'국가 데이터'!G90)</x:f>
        <x:v>예</x:v>
      </x:c>
      <x:c r="E7" s="64" t="str">
        <x:f>IF('국가 데이터'!K90="","",'국가 데이터'!K90)</x:f>
        <x:v>보조자료 분류·공식 확인 필요</x:v>
      </x:c>
      <x:c r="F7" s="65" t="str">
        <x:f>IF('국가 데이터'!N90="","",'국가 데이터'!N90)</x:f>
      </x:c>
      <x:c r="G7" s="65" t="str">
        <x:f>IF('국가 데이터'!R90="","",'국가 데이터'!R90)</x:f>
      </x:c>
      <x:c r="H7" s="64" t="str">
        <x:v>국가 데이터 90행</x:v>
      </x:c>
    </x:row>
    <x:row r="8">
      <x:c r="A8" s="64" t="str">
        <x:f>IF('국가 데이터'!M91="","",'국가 데이터'!M91)</x:f>
        <x:v>P0</x:v>
      </x:c>
      <x:c r="B8" s="64" t="str">
        <x:f>IF('국가 데이터'!B91="","",'국가 데이터'!B91)</x:f>
        <x:v>기니</x:v>
      </x:c>
      <x:c r="C8" s="64" t="str">
        <x:f>IF('국가 데이터'!F91="","",'국가 데이터'!F91)</x:f>
        <x:v>전자비자(eVisa)</x:v>
      </x:c>
      <x:c r="D8" s="64" t="str">
        <x:f>IF('국가 데이터'!G91="","",'국가 데이터'!G91)</x:f>
        <x:v>예</x:v>
      </x:c>
      <x:c r="E8" s="64" t="str">
        <x:f>IF('국가 데이터'!K91="","",'국가 데이터'!K91)</x:f>
        <x:v>보조자료 분류·공식 확인 필요</x:v>
      </x:c>
      <x:c r="F8" s="65" t="str">
        <x:f>IF('국가 데이터'!N91="","",'국가 데이터'!N91)</x:f>
      </x:c>
      <x:c r="G8" s="65" t="str">
        <x:f>IF('국가 데이터'!R91="","",'국가 데이터'!R91)</x:f>
      </x:c>
      <x:c r="H8" s="64" t="str">
        <x:v>국가 데이터 91행</x:v>
      </x:c>
    </x:row>
    <x:row r="9">
      <x:c r="A9" s="64" t="str">
        <x:f>IF('국가 데이터'!M42="","",'국가 데이터'!M42)</x:f>
        <x:v>P0</x:v>
      </x:c>
      <x:c r="B9" s="64" t="str">
        <x:f>IF('국가 데이터'!B42="","",'국가 데이터'!B42)</x:f>
        <x:v>나우루</x:v>
      </x:c>
      <x:c r="C9" s="64" t="str">
        <x:f>IF('국가 데이터'!F42="","",'국가 데이터'!F42)</x:f>
        <x:v>대사관·영사관 사전비자</x:v>
      </x:c>
      <x:c r="D9" s="64" t="str">
        <x:f>IF('국가 데이터'!G42="","",'국가 데이터'!G42)</x:f>
        <x:v>예</x:v>
      </x:c>
      <x:c r="E9" s="64" t="str">
        <x:f>IF('국가 데이터'!K42="","",'국가 데이터'!K42)</x:f>
        <x:v>보조자료 분류·공식 확인 필요</x:v>
      </x:c>
      <x:c r="F9" s="65" t="str">
        <x:f>IF('국가 데이터'!N42="","",'국가 데이터'!N42)</x:f>
      </x:c>
      <x:c r="G9" s="65" t="str">
        <x:f>IF('국가 데이터'!R42="","",'국가 데이터'!R42)</x:f>
      </x:c>
      <x:c r="H9" s="64" t="str">
        <x:v>국가 데이터 42행</x:v>
      </x:c>
    </x:row>
    <x:row r="10">
      <x:c r="A10" s="64" t="str">
        <x:f>IF('국가 데이터'!M94="","",'국가 데이터'!M94)</x:f>
        <x:v>P0</x:v>
      </x:c>
      <x:c r="B10" s="64" t="str">
        <x:f>IF('국가 데이터'!B94="","",'국가 데이터'!B94)</x:f>
        <x:v>나이지리아</x:v>
      </x:c>
      <x:c r="C10" s="64" t="str">
        <x:f>IF('국가 데이터'!F94="","",'국가 데이터'!F94)</x:f>
        <x:v>전자비자(eVisa)</x:v>
      </x:c>
      <x:c r="D10" s="64" t="str">
        <x:f>IF('국가 데이터'!G94="","",'국가 데이터'!G94)</x:f>
        <x:v>예</x:v>
      </x:c>
      <x:c r="E10" s="64" t="str">
        <x:f>IF('국가 데이터'!K94="","",'국가 데이터'!K94)</x:f>
        <x:v>보조자료 분류·공식 확인 필요</x:v>
      </x:c>
      <x:c r="F10" s="65" t="str">
        <x:f>IF('국가 데이터'!N94="","",'국가 데이터'!N94)</x:f>
      </x:c>
      <x:c r="G10" s="65" t="str">
        <x:f>IF('국가 데이터'!R94="","",'국가 데이터'!R94)</x:f>
      </x:c>
      <x:c r="H10" s="64" t="str">
        <x:v>국가 데이터 94행</x:v>
      </x:c>
    </x:row>
    <x:row r="11">
      <x:c r="A11" s="64" t="str">
        <x:f>IF('국가 데이터'!M95="","",'국가 데이터'!M95)</x:f>
        <x:v>P0</x:v>
      </x:c>
      <x:c r="B11" s="64" t="str">
        <x:f>IF('국가 데이터'!B95="","",'국가 데이터'!B95)</x:f>
        <x:v>남수단</x:v>
      </x:c>
      <x:c r="C11" s="64" t="str">
        <x:f>IF('국가 데이터'!F95="","",'국가 데이터'!F95)</x:f>
        <x:v>전자비자(eVisa)</x:v>
      </x:c>
      <x:c r="D11" s="64" t="str">
        <x:f>IF('국가 데이터'!G95="","",'국가 데이터'!G95)</x:f>
        <x:v>예</x:v>
      </x:c>
      <x:c r="E11" s="64" t="str">
        <x:f>IF('국가 데이터'!K95="","",'국가 데이터'!K95)</x:f>
        <x:v>보조자료 분류·공식 확인 필요</x:v>
      </x:c>
      <x:c r="F11" s="65" t="str">
        <x:f>IF('국가 데이터'!N95="","",'국가 데이터'!N95)</x:f>
      </x:c>
      <x:c r="G11" s="65" t="str">
        <x:f>IF('국가 데이터'!R95="","",'국가 데이터'!R95)</x:f>
      </x:c>
      <x:c r="H11" s="64" t="str">
        <x:v>국가 데이터 95행</x:v>
      </x:c>
    </x:row>
    <x:row r="12">
      <x:c r="A12" s="64" t="str">
        <x:f>IF('국가 데이터'!M97="","",'국가 데이터'!M97)</x:f>
        <x:v>P0</x:v>
      </x:c>
      <x:c r="B12" s="64" t="str">
        <x:f>IF('국가 데이터'!B97="","",'국가 데이터'!B97)</x:f>
        <x:v>니제르</x:v>
      </x:c>
      <x:c r="C12" s="64" t="str">
        <x:f>IF('국가 데이터'!F97="","",'국가 데이터'!F97)</x:f>
        <x:v>대사관·영사관 사전비자</x:v>
      </x:c>
      <x:c r="D12" s="64" t="str">
        <x:f>IF('국가 데이터'!G97="","",'국가 데이터'!G97)</x:f>
        <x:v>예</x:v>
      </x:c>
      <x:c r="E12" s="64" t="str">
        <x:f>IF('국가 데이터'!K97="","",'국가 데이터'!K97)</x:f>
        <x:v>보조자료 분류·공식 확인 필요</x:v>
      </x:c>
      <x:c r="F12" s="65" t="str">
        <x:f>IF('국가 데이터'!N97="","",'국가 데이터'!N97)</x:f>
      </x:c>
      <x:c r="G12" s="65" t="str">
        <x:f>IF('국가 데이터'!R97="","",'국가 데이터'!R97)</x:f>
      </x:c>
      <x:c r="H12" s="64" t="str">
        <x:v>국가 데이터 97행</x:v>
      </x:c>
    </x:row>
    <x:row r="13">
      <x:c r="A13" s="64" t="str">
        <x:f>IF('국가 데이터'!M102="","",'국가 데이터'!M102)</x:f>
        <x:v>P0</x:v>
      </x:c>
      <x:c r="B13" s="64" t="str">
        <x:f>IF('국가 데이터'!B102="","",'국가 데이터'!B102)</x:f>
        <x:v>리비아</x:v>
      </x:c>
      <x:c r="C13" s="64" t="str">
        <x:f>IF('국가 데이터'!F102="","",'국가 데이터'!F102)</x:f>
        <x:v>전자비자(eVisa)</x:v>
      </x:c>
      <x:c r="D13" s="64" t="str">
        <x:f>IF('국가 데이터'!G102="","",'국가 데이터'!G102)</x:f>
        <x:v>예</x:v>
      </x:c>
      <x:c r="E13" s="64" t="str">
        <x:f>IF('국가 데이터'!K102="","",'국가 데이터'!K102)</x:f>
        <x:v>보조자료 분류·공식 확인 필요</x:v>
      </x:c>
      <x:c r="F13" s="65" t="str">
        <x:f>IF('국가 데이터'!N102="","",'국가 데이터'!N102)</x:f>
      </x:c>
      <x:c r="G13" s="65" t="str">
        <x:f>IF('국가 데이터'!R102="","",'국가 데이터'!R102)</x:f>
        <x:v>대한민국 여권 사용 제한 여부 우선 확인</x:v>
      </x:c>
      <x:c r="H13" s="64" t="str">
        <x:v>국가 데이터 102행</x:v>
      </x:c>
    </x:row>
    <x:row r="14">
      <x:c r="A14" s="64" t="str">
        <x:f>IF('국가 데이터'!M105="","",'국가 데이터'!M105)</x:f>
        <x:v>P0</x:v>
      </x:c>
      <x:c r="B14" s="64" t="str">
        <x:f>IF('국가 데이터'!B105="","",'국가 데이터'!B105)</x:f>
        <x:v>말리</x:v>
      </x:c>
      <x:c r="C14" s="64" t="str">
        <x:f>IF('국가 데이터'!F105="","",'국가 데이터'!F105)</x:f>
        <x:v>대사관·영사관 사전비자</x:v>
      </x:c>
      <x:c r="D14" s="64" t="str">
        <x:f>IF('국가 데이터'!G105="","",'국가 데이터'!G105)</x:f>
        <x:v>예</x:v>
      </x:c>
      <x:c r="E14" s="64" t="str">
        <x:f>IF('국가 데이터'!K105="","",'국가 데이터'!K105)</x:f>
        <x:v>보조자료 분류·공식 확인 필요</x:v>
      </x:c>
      <x:c r="F14" s="65" t="str">
        <x:f>IF('국가 데이터'!N105="","",'국가 데이터'!N105)</x:f>
      </x:c>
      <x:c r="G14" s="65" t="str">
        <x:f>IF('국가 데이터'!R105="","",'국가 데이터'!R105)</x:f>
        <x:v>대한민국 여권 사용 제한 여부 우선 확인</x:v>
      </x:c>
      <x:c r="H14" s="64" t="str">
        <x:v>국가 데이터 105행</x:v>
      </x:c>
    </x:row>
    <x:row r="15">
      <x:c r="A15" s="64" t="str">
        <x:f>IF('국가 데이터'!M108="","",'국가 데이터'!M108)</x:f>
        <x:v>P0</x:v>
      </x:c>
      <x:c r="B15" s="64" t="str">
        <x:f>IF('국가 데이터'!B108="","",'국가 데이터'!B108)</x:f>
        <x:v>모리타니아</x:v>
      </x:c>
      <x:c r="C15" s="64" t="str">
        <x:f>IF('국가 데이터'!F108="","",'국가 데이터'!F108)</x:f>
        <x:v>전자비자(eVisa)</x:v>
      </x:c>
      <x:c r="D15" s="64" t="str">
        <x:f>IF('국가 데이터'!G108="","",'국가 데이터'!G108)</x:f>
        <x:v>예</x:v>
      </x:c>
      <x:c r="E15" s="64" t="str">
        <x:f>IF('국가 데이터'!K108="","",'국가 데이터'!K108)</x:f>
        <x:v>보조자료 분류·공식 확인 필요</x:v>
      </x:c>
      <x:c r="F15" s="65" t="str">
        <x:f>IF('국가 데이터'!N108="","",'국가 데이터'!N108)</x:f>
      </x:c>
      <x:c r="G15" s="65" t="str">
        <x:f>IF('국가 데이터'!R108="","",'국가 데이터'!R108)</x:f>
      </x:c>
      <x:c r="H15" s="64" t="str">
        <x:v>국가 데이터 108행</x:v>
      </x:c>
    </x:row>
    <x:row r="16">
      <x:c r="A16" s="64" t="str">
        <x:f>IF('국가 데이터'!M111="","",'국가 데이터'!M111)</x:f>
        <x:v>P0</x:v>
      </x:c>
      <x:c r="B16" s="64" t="str">
        <x:f>IF('국가 데이터'!B111="","",'국가 데이터'!B111)</x:f>
        <x:v>베냉</x:v>
      </x:c>
      <x:c r="C16" s="64" t="str">
        <x:f>IF('국가 데이터'!F111="","",'국가 데이터'!F111)</x:f>
        <x:v>전자비자(eVisa)</x:v>
      </x:c>
      <x:c r="D16" s="64" t="str">
        <x:f>IF('국가 데이터'!G111="","",'국가 데이터'!G111)</x:f>
        <x:v>예</x:v>
      </x:c>
      <x:c r="E16" s="64" t="str">
        <x:f>IF('국가 데이터'!K111="","",'국가 데이터'!K111)</x:f>
        <x:v>보조자료 분류·공식 확인 필요</x:v>
      </x:c>
      <x:c r="F16" s="65" t="str">
        <x:f>IF('국가 데이터'!N111="","",'국가 데이터'!N111)</x:f>
      </x:c>
      <x:c r="G16" s="65" t="str">
        <x:f>IF('국가 데이터'!R111="","",'국가 데이터'!R111)</x:f>
      </x:c>
      <x:c r="H16" s="64" t="str">
        <x:v>국가 데이터 111행</x:v>
      </x:c>
    </x:row>
    <x:row r="17">
      <x:c r="A17" s="64" t="str">
        <x:f>IF('국가 데이터'!M114="","",'국가 데이터'!M114)</x:f>
        <x:v>P0</x:v>
      </x:c>
      <x:c r="B17" s="64" t="str">
        <x:f>IF('국가 데이터'!B114="","",'국가 데이터'!B114)</x:f>
        <x:v>부르키나파소</x:v>
      </x:c>
      <x:c r="C17" s="64" t="str">
        <x:f>IF('국가 데이터'!F114="","",'국가 데이터'!F114)</x:f>
        <x:v>전자비자(eVisa)</x:v>
      </x:c>
      <x:c r="D17" s="64" t="str">
        <x:f>IF('국가 데이터'!G114="","",'국가 데이터'!G114)</x:f>
        <x:v>예</x:v>
      </x:c>
      <x:c r="E17" s="64" t="str">
        <x:f>IF('국가 데이터'!K114="","",'국가 데이터'!K114)</x:f>
        <x:v>보조자료 분류·공식 확인 필요</x:v>
      </x:c>
      <x:c r="F17" s="65" t="str">
        <x:f>IF('국가 데이터'!N114="","",'국가 데이터'!N114)</x:f>
      </x:c>
      <x:c r="G17" s="65" t="str">
        <x:f>IF('국가 데이터'!R114="","",'국가 데이터'!R114)</x:f>
      </x:c>
      <x:c r="H17" s="64" t="str">
        <x:v>국가 데이터 114행</x:v>
      </x:c>
    </x:row>
    <x:row r="18">
      <x:c r="A18" s="64" t="str">
        <x:f>IF('국가 데이터'!M59="","",'국가 데이터'!M59)</x:f>
        <x:v>P0</x:v>
      </x:c>
      <x:c r="B18" s="64" t="str">
        <x:f>IF('국가 데이터'!B59="","",'국가 데이터'!B59)</x:f>
        <x:v>부탄</x:v>
      </x:c>
      <x:c r="C18" s="64" t="str">
        <x:f>IF('국가 데이터'!F59="","",'국가 데이터'!F59)</x:f>
        <x:v>전자비자(eVisa)</x:v>
      </x:c>
      <x:c r="D18" s="64" t="str">
        <x:f>IF('국가 데이터'!G59="","",'국가 데이터'!G59)</x:f>
        <x:v>예</x:v>
      </x:c>
      <x:c r="E18" s="64" t="str">
        <x:f>IF('국가 데이터'!K59="","",'국가 데이터'!K59)</x:f>
        <x:v>보조자료 분류·공식 확인 필요</x:v>
      </x:c>
      <x:c r="F18" s="65" t="str">
        <x:f>IF('국가 데이터'!N59="","",'국가 데이터'!N59)</x:f>
      </x:c>
      <x:c r="G18" s="65" t="str">
        <x:f>IF('국가 데이터'!R59="","",'국가 데이터'!R59)</x:f>
        <x:v>관광세·여행 운영 조건 별도 확인</x:v>
      </x:c>
      <x:c r="H18" s="64" t="str">
        <x:v>국가 데이터 59행</x:v>
      </x:c>
    </x:row>
    <x:row r="19">
      <x:c r="A19" s="64" t="str">
        <x:f>IF('국가 데이터'!M60="","",'국가 데이터'!M60)</x:f>
        <x:v>P0</x:v>
      </x:c>
      <x:c r="B19" s="64" t="str">
        <x:f>IF('국가 데이터'!B60="","",'국가 데이터'!B60)</x:f>
        <x:v>북한</x:v>
      </x:c>
      <x:c r="C19" s="64" t="str">
        <x:f>IF('국가 데이터'!F60="","",'국가 데이터'!F60)</x:f>
        <x:v>특별허가/여행제한</x:v>
      </x:c>
      <x:c r="D19" s="64" t="str">
        <x:f>IF('국가 데이터'!G60="","",'국가 데이터'!G60)</x:f>
        <x:v>예</x:v>
      </x:c>
      <x:c r="E19" s="64" t="str">
        <x:f>IF('국가 데이터'!K60="","",'국가 데이터'!K60)</x:f>
        <x:v>보조자료 분류·공식 확인 필요</x:v>
      </x:c>
      <x:c r="F19" s="65" t="str">
        <x:f>IF('국가 데이터'!N60="","",'국가 데이터'!N60)</x:f>
      </x:c>
      <x:c r="G19" s="65" t="str">
        <x:f>IF('국가 데이터'!R60="","",'국가 데이터'!R60)</x:f>
        <x:v>남북교류 관련 별도 승인 대상 · 일반적인 해외 관광 비자와 다른 절차이므로 별도 서비스 범위로 분리</x:v>
      </x:c>
      <x:c r="H19" s="64" t="str">
        <x:v>국가 데이터 60행</x:v>
      </x:c>
    </x:row>
    <x:row r="20">
      <x:c r="A20" s="64" t="str">
        <x:f>IF('국가 데이터'!M23="","",'국가 데이터'!M23)</x:f>
        <x:v>P0</x:v>
      </x:c>
      <x:c r="B20" s="64" t="str">
        <x:f>IF('국가 데이터'!B23="","",'국가 데이터'!B23)</x:f>
        <x:v>세인트키츠네비스</x:v>
      </x:c>
      <x:c r="C20" s="64" t="str">
        <x:f>IF('국가 데이터'!F23="","",'국가 데이터'!F23)</x:f>
        <x:v>전자여행허가(ETA)</x:v>
      </x:c>
      <x:c r="D20" s="64" t="str">
        <x:f>IF('국가 데이터'!G23="","",'국가 데이터'!G23)</x:f>
        <x:v>예</x:v>
      </x:c>
      <x:c r="E20" s="64" t="str">
        <x:f>IF('국가 데이터'!K23="","",'국가 데이터'!K23)</x:f>
        <x:v>보조자료 분류·공식 확인 필요</x:v>
      </x:c>
      <x:c r="F20" s="65" t="str">
        <x:f>IF('국가 데이터'!N23="","",'국가 데이터'!N23)</x:f>
      </x:c>
      <x:c r="G20" s="65" t="str">
        <x:f>IF('국가 데이터'!R23="","",'국가 데이터'!R23)</x:f>
      </x:c>
      <x:c r="H20" s="64" t="str">
        <x:v>국가 데이터 23행</x:v>
      </x:c>
    </x:row>
    <x:row r="21">
      <x:c r="A21" s="64" t="str">
        <x:f>IF('국가 데이터'!M118="","",'국가 데이터'!M118)</x:f>
        <x:v>P0</x:v>
      </x:c>
      <x:c r="B21" s="64" t="str">
        <x:f>IF('국가 데이터'!B118="","",'국가 데이터'!B118)</x:f>
        <x:v>소말리아</x:v>
      </x:c>
      <x:c r="C21" s="64" t="str">
        <x:f>IF('국가 데이터'!F118="","",'국가 데이터'!F118)</x:f>
        <x:v>전자비자(eVisa)</x:v>
      </x:c>
      <x:c r="D21" s="64" t="str">
        <x:f>IF('국가 데이터'!G118="","",'국가 데이터'!G118)</x:f>
        <x:v>예</x:v>
      </x:c>
      <x:c r="E21" s="64" t="str">
        <x:f>IF('국가 데이터'!K118="","",'국가 데이터'!K118)</x:f>
        <x:v>보조자료 분류·공식 확인 필요</x:v>
      </x:c>
      <x:c r="F21" s="65" t="str">
        <x:f>IF('국가 데이터'!N118="","",'국가 데이터'!N118)</x:f>
      </x:c>
      <x:c r="G21" s="65" t="str">
        <x:f>IF('국가 데이터'!R118="","",'국가 데이터'!R118)</x:f>
        <x:v>대한민국 여권 사용 제한 여부 우선 확인</x:v>
      </x:c>
      <x:c r="H21" s="64" t="str">
        <x:v>국가 데이터 118행</x:v>
      </x:c>
    </x:row>
    <x:row r="22">
      <x:c r="A22" s="64" t="str">
        <x:f>IF('국가 데이터'!M119="","",'국가 데이터'!M119)</x:f>
        <x:v>P0</x:v>
      </x:c>
      <x:c r="B22" s="64" t="str">
        <x:f>IF('국가 데이터'!B119="","",'국가 데이터'!B119)</x:f>
        <x:v>수단</x:v>
      </x:c>
      <x:c r="C22" s="64" t="str">
        <x:f>IF('국가 데이터'!F119="","",'국가 데이터'!F119)</x:f>
        <x:v>대사관·영사관 사전비자</x:v>
      </x:c>
      <x:c r="D22" s="64" t="str">
        <x:f>IF('국가 데이터'!G119="","",'국가 데이터'!G119)</x:f>
        <x:v>예</x:v>
      </x:c>
      <x:c r="E22" s="64" t="str">
        <x:f>IF('국가 데이터'!K119="","",'국가 데이터'!K119)</x:f>
        <x:v>보조자료 분류·공식 확인 필요</x:v>
      </x:c>
      <x:c r="F22" s="65" t="str">
        <x:f>IF('국가 데이터'!N119="","",'국가 데이터'!N119)</x:f>
      </x:c>
      <x:c r="G22" s="65" t="str">
        <x:f>IF('국가 데이터'!R119="","",'국가 데이터'!R119)</x:f>
        <x:v>대한민국 여권 사용 제한 여부 우선 확인</x:v>
      </x:c>
      <x:c r="H22" s="64" t="str">
        <x:v>국가 데이터 119행</x:v>
      </x:c>
    </x:row>
    <x:row r="23">
      <x:c r="A23" s="64" t="str">
        <x:f>IF('국가 데이터'!M64="","",'국가 데이터'!M64)</x:f>
        <x:v>P0</x:v>
      </x:c>
      <x:c r="B23" s="64" t="str">
        <x:f>IF('국가 데이터'!B64="","",'국가 데이터'!B64)</x:f>
        <x:v>스리랑카</x:v>
      </x:c>
      <x:c r="C23" s="64" t="str">
        <x:f>IF('국가 데이터'!F64="","",'국가 데이터'!F64)</x:f>
        <x:v>전자여행허가(ETA)</x:v>
      </x:c>
      <x:c r="D23" s="64" t="str">
        <x:f>IF('국가 데이터'!G64="","",'국가 데이터'!G64)</x:f>
        <x:v>예</x:v>
      </x:c>
      <x:c r="E23" s="64" t="str">
        <x:f>IF('국가 데이터'!K64="","",'국가 데이터'!K64)</x:f>
        <x:v>보조자료 분류·공식 확인 필요</x:v>
      </x:c>
      <x:c r="F23" s="65" t="str">
        <x:f>IF('국가 데이터'!N64="","",'국가 데이터'!N64)</x:f>
      </x:c>
      <x:c r="G23" s="65" t="str">
        <x:f>IF('국가 데이터'!R64="","",'국가 데이터'!R64)</x:f>
      </x:c>
      <x:c r="H23" s="64" t="str">
        <x:v>국가 데이터 64행</x:v>
      </x:c>
    </x:row>
    <x:row r="24">
      <x:c r="A24" s="64" t="str">
        <x:f>IF('국가 데이터'!M120="","",'국가 데이터'!M120)</x:f>
        <x:v>P0</x:v>
      </x:c>
      <x:c r="B24" s="64" t="str">
        <x:f>IF('국가 데이터'!B120="","",'국가 데이터'!B120)</x:f>
        <x:v>시리아</x:v>
      </x:c>
      <x:c r="C24" s="64" t="str">
        <x:f>IF('국가 데이터'!F120="","",'국가 데이터'!F120)</x:f>
        <x:v>전자비자(eVisa)</x:v>
      </x:c>
      <x:c r="D24" s="64" t="str">
        <x:f>IF('국가 데이터'!G120="","",'국가 데이터'!G120)</x:f>
        <x:v>예</x:v>
      </x:c>
      <x:c r="E24" s="64" t="str">
        <x:f>IF('국가 데이터'!K120="","",'국가 데이터'!K120)</x:f>
        <x:v>보조자료 분류·공식 확인 필요</x:v>
      </x:c>
      <x:c r="F24" s="65" t="str">
        <x:f>IF('국가 데이터'!N120="","",'국가 데이터'!N120)</x:f>
      </x:c>
      <x:c r="G24" s="65" t="str">
        <x:f>IF('국가 데이터'!R120="","",'국가 데이터'!R120)</x:f>
        <x:v>대한민국 여권 사용 제한 여부 우선 확인</x:v>
      </x:c>
      <x:c r="H24" s="64" t="str">
        <x:v>국가 데이터 120행</x:v>
      </x:c>
    </x:row>
    <x:row r="25">
      <x:c r="A25" s="64" t="str">
        <x:f>IF('국가 데이터'!M66="","",'국가 데이터'!M66)</x:f>
        <x:v>P0</x:v>
      </x:c>
      <x:c r="B25" s="64" t="str">
        <x:f>IF('국가 데이터'!B66="","",'국가 데이터'!B66)</x:f>
        <x:v>아프가니스탄</x:v>
      </x:c>
      <x:c r="C25" s="64" t="str">
        <x:f>IF('국가 데이터'!F66="","",'국가 데이터'!F66)</x:f>
        <x:v>전자비자(eVisa)</x:v>
      </x:c>
      <x:c r="D25" s="64" t="str">
        <x:f>IF('국가 데이터'!G66="","",'국가 데이터'!G66)</x:f>
        <x:v>예</x:v>
      </x:c>
      <x:c r="E25" s="64" t="str">
        <x:f>IF('국가 데이터'!K66="","",'국가 데이터'!K66)</x:f>
        <x:v>보조자료 분류·공식 확인 필요</x:v>
      </x:c>
      <x:c r="F25" s="65" t="str">
        <x:f>IF('국가 데이터'!N66="","",'국가 데이터'!N66)</x:f>
      </x:c>
      <x:c r="G25" s="65" t="str">
        <x:f>IF('국가 데이터'!R66="","",'국가 데이터'!R66)</x:f>
        <x:v>대한민국 여권 사용 제한 여부 우선 확인</x:v>
      </x:c>
      <x:c r="H25" s="64" t="str">
        <x:v>국가 데이터 66행</x:v>
      </x:c>
    </x:row>
    <x:row r="26">
      <x:c r="A26" s="64" t="str">
        <x:f>IF('국가 데이터'!M123="","",'국가 데이터'!M123)</x:f>
        <x:v>P0</x:v>
      </x:c>
      <x:c r="B26" s="64" t="str">
        <x:f>IF('국가 데이터'!B123="","",'국가 데이터'!B123)</x:f>
        <x:v>알제리</x:v>
      </x:c>
      <x:c r="C26" s="64" t="str">
        <x:f>IF('국가 데이터'!F123="","",'국가 데이터'!F123)</x:f>
        <x:v>대사관·영사관 사전비자</x:v>
      </x:c>
      <x:c r="D26" s="64" t="str">
        <x:f>IF('국가 데이터'!G123="","",'국가 데이터'!G123)</x:f>
        <x:v>예</x:v>
      </x:c>
      <x:c r="E26" s="64" t="str">
        <x:f>IF('국가 데이터'!K123="","",'국가 데이터'!K123)</x:f>
        <x:v>보조자료 분류·공식 확인 필요</x:v>
      </x:c>
      <x:c r="F26" s="65" t="str">
        <x:f>IF('국가 데이터'!N123="","",'국가 데이터'!N123)</x:f>
      </x:c>
      <x:c r="G26" s="65" t="str">
        <x:f>IF('국가 데이터'!R123="","",'국가 데이터'!R123)</x:f>
      </x:c>
      <x:c r="H26" s="64" t="str">
        <x:v>국가 데이터 123행</x:v>
      </x:c>
    </x:row>
    <x:row r="27">
      <x:c r="A27" s="64" t="str">
        <x:f>IF('국가 데이터'!M125="","",'국가 데이터'!M125)</x:f>
        <x:v>P0</x:v>
      </x:c>
      <x:c r="B27" s="64" t="str">
        <x:f>IF('국가 데이터'!B125="","",'국가 데이터'!B125)</x:f>
        <x:v>에리트레아</x:v>
      </x:c>
      <x:c r="C27" s="64" t="str">
        <x:f>IF('국가 데이터'!F125="","",'국가 데이터'!F125)</x:f>
        <x:v>대사관·영사관 사전비자</x:v>
      </x:c>
      <x:c r="D27" s="64" t="str">
        <x:f>IF('국가 데이터'!G125="","",'국가 데이터'!G125)</x:f>
        <x:v>예</x:v>
      </x:c>
      <x:c r="E27" s="64" t="str">
        <x:f>IF('국가 데이터'!K125="","",'국가 데이터'!K125)</x:f>
        <x:v>보조자료 분류·공식 확인 필요</x:v>
      </x:c>
      <x:c r="F27" s="65" t="str">
        <x:f>IF('국가 데이터'!N125="","",'국가 데이터'!N125)</x:f>
      </x:c>
      <x:c r="G27" s="65" t="str">
        <x:f>IF('국가 데이터'!R125="","",'국가 데이터'!R125)</x:f>
      </x:c>
      <x:c r="H27" s="64" t="str">
        <x:v>국가 데이터 125행</x:v>
      </x:c>
    </x:row>
    <x:row r="28">
      <x:c r="A28" s="64" t="str">
        <x:f>IF('국가 데이터'!M128="","",'국가 데이터'!M128)</x:f>
        <x:v>P0</x:v>
      </x:c>
      <x:c r="B28" s="64" t="str">
        <x:f>IF('국가 데이터'!B128="","",'국가 데이터'!B128)</x:f>
        <x:v>예멘</x:v>
      </x:c>
      <x:c r="C28" s="64" t="str">
        <x:f>IF('국가 데이터'!F128="","",'국가 데이터'!F128)</x:f>
        <x:v>대사관·영사관 사전비자</x:v>
      </x:c>
      <x:c r="D28" s="64" t="str">
        <x:f>IF('국가 데이터'!G128="","",'국가 데이터'!G128)</x:f>
        <x:v>예</x:v>
      </x:c>
      <x:c r="E28" s="64" t="str">
        <x:f>IF('국가 데이터'!K128="","",'국가 데이터'!K128)</x:f>
        <x:v>보조자료 분류·공식 확인 필요</x:v>
      </x:c>
      <x:c r="F28" s="65" t="str">
        <x:f>IF('국가 데이터'!N128="","",'국가 데이터'!N128)</x:f>
      </x:c>
      <x:c r="G28" s="65" t="str">
        <x:f>IF('국가 데이터'!R128="","",'국가 데이터'!R128)</x:f>
        <x:v>대한민국 여권 사용 제한 여부 우선 확인</x:v>
      </x:c>
      <x:c r="H28" s="64" t="str">
        <x:v>국가 데이터 128행</x:v>
      </x:c>
    </x:row>
    <x:row r="29">
      <x:c r="A29" s="64" t="str">
        <x:f>IF('국가 데이터'!M131="","",'국가 데이터'!M131)</x:f>
        <x:v>P0</x:v>
      </x:c>
      <x:c r="B29" s="64" t="str">
        <x:f>IF('국가 데이터'!B131="","",'국가 데이터'!B131)</x:f>
        <x:v>우간다</x:v>
      </x:c>
      <x:c r="C29" s="64" t="str">
        <x:f>IF('국가 데이터'!F131="","",'국가 데이터'!F131)</x:f>
        <x:v>전자비자(eVisa)</x:v>
      </x:c>
      <x:c r="D29" s="64" t="str">
        <x:f>IF('국가 데이터'!G131="","",'국가 데이터'!G131)</x:f>
        <x:v>예</x:v>
      </x:c>
      <x:c r="E29" s="64" t="str">
        <x:f>IF('국가 데이터'!K131="","",'국가 데이터'!K131)</x:f>
        <x:v>보조자료 분류·공식 확인 필요</x:v>
      </x:c>
      <x:c r="F29" s="65" t="str">
        <x:f>IF('국가 데이터'!N131="","",'국가 데이터'!N131)</x:f>
      </x:c>
      <x:c r="G29" s="65" t="str">
        <x:f>IF('국가 데이터'!R131="","",'국가 데이터'!R131)</x:f>
      </x:c>
      <x:c r="H29" s="64" t="str">
        <x:v>국가 데이터 131행</x:v>
      </x:c>
    </x:row>
    <x:row r="30">
      <x:c r="A30" s="64" t="str">
        <x:f>IF('국가 데이터'!M132="","",'국가 데이터'!M132)</x:f>
        <x:v>P0</x:v>
      </x:c>
      <x:c r="B30" s="64" t="str">
        <x:f>IF('국가 데이터'!B132="","",'국가 데이터'!B132)</x:f>
        <x:v>이라크</x:v>
      </x:c>
      <x:c r="C30" s="64" t="str">
        <x:f>IF('국가 데이터'!F132="","",'국가 데이터'!F132)</x:f>
        <x:v>전자비자(eVisa)</x:v>
      </x:c>
      <x:c r="D30" s="64" t="str">
        <x:f>IF('국가 데이터'!G132="","",'국가 데이터'!G132)</x:f>
        <x:v>예</x:v>
      </x:c>
      <x:c r="E30" s="64" t="str">
        <x:f>IF('국가 데이터'!K132="","",'국가 데이터'!K132)</x:f>
        <x:v>보조자료 분류·공식 확인 필요</x:v>
      </x:c>
      <x:c r="F30" s="65" t="str">
        <x:f>IF('국가 데이터'!N132="","",'국가 데이터'!N132)</x:f>
      </x:c>
      <x:c r="G30" s="65" t="str">
        <x:f>IF('국가 데이터'!R132="","",'국가 데이터'!R132)</x:f>
        <x:v>대한민국 여권 사용 제한 여부 우선 확인</x:v>
      </x:c>
      <x:c r="H30" s="64" t="str">
        <x:v>국가 데이터 132행</x:v>
      </x:c>
    </x:row>
    <x:row r="31">
      <x:c r="A31" s="64" t="str">
        <x:f>IF('국가 데이터'!M133="","",'국가 데이터'!M133)</x:f>
        <x:v>P0</x:v>
      </x:c>
      <x:c r="B31" s="64" t="str">
        <x:f>IF('국가 데이터'!B133="","",'국가 데이터'!B133)</x:f>
        <x:v>이라크 (쿠르드지역)</x:v>
      </x:c>
      <x:c r="C31" s="64" t="str">
        <x:f>IF('국가 데이터'!F133="","",'국가 데이터'!F133)</x:f>
        <x:v>전자비자(eVisa)</x:v>
      </x:c>
      <x:c r="D31" s="64" t="str">
        <x:f>IF('국가 데이터'!G133="","",'국가 데이터'!G133)</x:f>
        <x:v>예</x:v>
      </x:c>
      <x:c r="E31" s="64" t="str">
        <x:f>IF('국가 데이터'!K133="","",'국가 데이터'!K133)</x:f>
        <x:v>보조자료 분류·공식 확인 필요</x:v>
      </x:c>
      <x:c r="F31" s="65" t="str">
        <x:f>IF('국가 데이터'!N133="","",'국가 데이터'!N133)</x:f>
      </x:c>
      <x:c r="G31" s="65" t="str">
        <x:f>IF('국가 데이터'!R133="","",'국가 데이터'!R133)</x:f>
        <x:v>대한민국 여권 사용 제한 여부 우선 확인</x:v>
      </x:c>
      <x:c r="H31" s="64" t="str">
        <x:v>국가 데이터 133행</x:v>
      </x:c>
    </x:row>
    <x:row r="32">
      <x:c r="A32" s="64" t="str">
        <x:f>IF('국가 데이터'!M134="","",'국가 데이터'!M134)</x:f>
        <x:v>P0</x:v>
      </x:c>
      <x:c r="B32" s="64" t="str">
        <x:f>IF('국가 데이터'!B134="","",'국가 데이터'!B134)</x:f>
        <x:v>이란</x:v>
      </x:c>
      <x:c r="C32" s="64" t="str">
        <x:f>IF('국가 데이터'!F134="","",'국가 데이터'!F134)</x:f>
        <x:v>전자비자(eVisa)</x:v>
      </x:c>
      <x:c r="D32" s="64" t="str">
        <x:f>IF('국가 데이터'!G134="","",'국가 데이터'!G134)</x:f>
        <x:v>예</x:v>
      </x:c>
      <x:c r="E32" s="64" t="str">
        <x:f>IF('국가 데이터'!K134="","",'국가 데이터'!K134)</x:f>
        <x:v>보조자료 분류·공식 확인 필요</x:v>
      </x:c>
      <x:c r="F32" s="65" t="str">
        <x:f>IF('국가 데이터'!N134="","",'국가 데이터'!N134)</x:f>
      </x:c>
      <x:c r="G32" s="65" t="str">
        <x:f>IF('국가 데이터'!R134="","",'국가 데이터'!R134)</x:f>
      </x:c>
      <x:c r="H32" s="64" t="str">
        <x:v>국가 데이터 134행</x:v>
      </x:c>
    </x:row>
    <x:row r="33">
      <x:c r="A33" s="64" t="str">
        <x:f>IF('국가 데이터'!M138="","",'국가 데이터'!M138)</x:f>
        <x:v>P0</x:v>
      </x:c>
      <x:c r="B33" s="64" t="str">
        <x:f>IF('국가 데이터'!B138="","",'국가 데이터'!B138)</x:f>
        <x:v>적도기니</x:v>
      </x:c>
      <x:c r="C33" s="64" t="str">
        <x:f>IF('국가 데이터'!F138="","",'국가 데이터'!F138)</x:f>
        <x:v>전자비자(eVisa)</x:v>
      </x:c>
      <x:c r="D33" s="64" t="str">
        <x:f>IF('국가 데이터'!G138="","",'국가 데이터'!G138)</x:f>
        <x:v>예</x:v>
      </x:c>
      <x:c r="E33" s="64" t="str">
        <x:f>IF('국가 데이터'!K138="","",'국가 데이터'!K138)</x:f>
        <x:v>보조자료 분류·공식 확인 필요</x:v>
      </x:c>
      <x:c r="F33" s="65" t="str">
        <x:f>IF('국가 데이터'!N138="","",'국가 데이터'!N138)</x:f>
      </x:c>
      <x:c r="G33" s="65" t="str">
        <x:f>IF('국가 데이터'!R138="","",'국가 데이터'!R138)</x:f>
      </x:c>
      <x:c r="H33" s="64" t="str">
        <x:v>국가 데이터 138행</x:v>
      </x:c>
    </x:row>
    <x:row r="34">
      <x:c r="A34" s="64" t="str">
        <x:f>IF('국가 데이터'!M139="","",'국가 데이터'!M139)</x:f>
        <x:v>P0</x:v>
      </x:c>
      <x:c r="B34" s="64" t="str">
        <x:f>IF('국가 데이터'!B139="","",'국가 데이터'!B139)</x:f>
        <x:v>중앙아프리카공화국</x:v>
      </x:c>
      <x:c r="C34" s="64" t="str">
        <x:f>IF('국가 데이터'!F139="","",'국가 데이터'!F139)</x:f>
        <x:v>대사관·영사관 사전비자</x:v>
      </x:c>
      <x:c r="D34" s="64" t="str">
        <x:f>IF('국가 데이터'!G139="","",'국가 데이터'!G139)</x:f>
        <x:v>예</x:v>
      </x:c>
      <x:c r="E34" s="64" t="str">
        <x:f>IF('국가 데이터'!K139="","",'국가 데이터'!K139)</x:f>
        <x:v>보조자료 분류·공식 확인 필요</x:v>
      </x:c>
      <x:c r="F34" s="65" t="str">
        <x:f>IF('국가 데이터'!N139="","",'국가 데이터'!N139)</x:f>
      </x:c>
      <x:c r="G34" s="65" t="str">
        <x:f>IF('국가 데이터'!R139="","",'국가 데이터'!R139)</x:f>
      </x:c>
      <x:c r="H34" s="64" t="str">
        <x:v>국가 데이터 139행</x:v>
      </x:c>
    </x:row>
    <x:row r="35">
      <x:c r="A35" s="64" t="str">
        <x:f>IF('국가 데이터'!M142="","",'국가 데이터'!M142)</x:f>
        <x:v>P0</x:v>
      </x:c>
      <x:c r="B35" s="64" t="str">
        <x:f>IF('국가 데이터'!B142="","",'국가 데이터'!B142)</x:f>
        <x:v>차드</x:v>
      </x:c>
      <x:c r="C35" s="64" t="str">
        <x:f>IF('국가 데이터'!F142="","",'국가 데이터'!F142)</x:f>
        <x:v>전자비자(eVisa)</x:v>
      </x:c>
      <x:c r="D35" s="64" t="str">
        <x:f>IF('국가 데이터'!G142="","",'국가 데이터'!G142)</x:f>
        <x:v>예</x:v>
      </x:c>
      <x:c r="E35" s="64" t="str">
        <x:f>IF('국가 데이터'!K142="","",'국가 데이터'!K142)</x:f>
        <x:v>보조자료 분류·공식 확인 필요</x:v>
      </x:c>
      <x:c r="F35" s="65" t="str">
        <x:f>IF('국가 데이터'!N142="","",'국가 데이터'!N142)</x:f>
      </x:c>
      <x:c r="G35" s="65" t="str">
        <x:f>IF('국가 데이터'!R142="","",'국가 데이터'!R142)</x:f>
      </x:c>
      <x:c r="H35" s="64" t="str">
        <x:v>국가 데이터 142행</x:v>
      </x:c>
    </x:row>
    <x:row r="36">
      <x:c r="A36" s="64" t="str">
        <x:f>IF('국가 데이터'!M143="","",'국가 데이터'!M143)</x:f>
        <x:v>P0</x:v>
      </x:c>
      <x:c r="B36" s="64" t="str">
        <x:f>IF('국가 데이터'!B143="","",'국가 데이터'!B143)</x:f>
        <x:v>카메룬</x:v>
      </x:c>
      <x:c r="C36" s="64" t="str">
        <x:f>IF('국가 데이터'!F143="","",'국가 데이터'!F143)</x:f>
        <x:v>전자비자(eVisa)</x:v>
      </x:c>
      <x:c r="D36" s="64" t="str">
        <x:f>IF('국가 데이터'!G143="","",'국가 데이터'!G143)</x:f>
        <x:v>예</x:v>
      </x:c>
      <x:c r="E36" s="64" t="str">
        <x:f>IF('국가 데이터'!K143="","",'국가 데이터'!K143)</x:f>
        <x:v>보조자료 분류·공식 확인 필요</x:v>
      </x:c>
      <x:c r="F36" s="65" t="str">
        <x:f>IF('국가 데이터'!N143="","",'국가 데이터'!N143)</x:f>
      </x:c>
      <x:c r="G36" s="65" t="str">
        <x:f>IF('국가 데이터'!R143="","",'국가 데이터'!R143)</x:f>
      </x:c>
      <x:c r="H36" s="64" t="str">
        <x:v>국가 데이터 143행</x:v>
      </x:c>
    </x:row>
    <x:row r="37">
      <x:c r="A37" s="64" t="str">
        <x:f>IF('국가 데이터'!M34="","",'국가 데이터'!M34)</x:f>
        <x:v>P0</x:v>
      </x:c>
      <x:c r="B37" s="64" t="str">
        <x:f>IF('국가 데이터'!B34="","",'국가 데이터'!B34)</x:f>
        <x:v>캐나다</x:v>
      </x:c>
      <x:c r="C37" s="64" t="str">
        <x:f>IF('국가 데이터'!F34="","",'국가 데이터'!F34)</x:f>
        <x:v>전자여행허가(ETA)</x:v>
      </x:c>
      <x:c r="D37" s="64" t="str">
        <x:f>IF('국가 데이터'!G34="","",'국가 데이터'!G34)</x:f>
        <x:v>예</x:v>
      </x:c>
      <x:c r="E37" s="64" t="str">
        <x:f>IF('국가 데이터'!K34="","",'국가 데이터'!K34)</x:f>
        <x:v>보조자료 분류·공식 확인 필요</x:v>
      </x:c>
      <x:c r="F37" s="65" t="str">
        <x:f>IF('국가 데이터'!N34="","",'국가 데이터'!N34)</x:f>
      </x:c>
      <x:c r="G37" s="65" t="str">
        <x:f>IF('국가 데이터'!R34="","",'국가 데이터'!R34)</x:f>
        <x:v>항공 입국 시 eTA 필요 · 외교관여권 소지자 : * eTA(전자여행허가제) 사전 등록 필요 관용여권 소지자 : * eTA 사전 등록 필요 일반여권 소지자 : * eTA 사전 등록 필요</x:v>
      </x:c>
      <x:c r="H37" s="64" t="str">
        <x:v>국가 데이터 34행</x:v>
      </x:c>
    </x:row>
    <x:row r="38">
      <x:c r="A38" s="64" t="str">
        <x:f>IF('국가 데이터'!M146="","",'국가 데이터'!M146)</x:f>
        <x:v>P0</x:v>
      </x:c>
      <x:c r="B38" s="64" t="str">
        <x:f>IF('국가 데이터'!B146="","",'국가 데이터'!B146)</x:f>
        <x:v>케냐</x:v>
      </x:c>
      <x:c r="C38" s="64" t="str">
        <x:f>IF('국가 데이터'!F146="","",'국가 데이터'!F146)</x:f>
        <x:v>전자여행허가(ETA)</x:v>
      </x:c>
      <x:c r="D38" s="64" t="str">
        <x:f>IF('국가 데이터'!G146="","",'국가 데이터'!G146)</x:f>
        <x:v>예</x:v>
      </x:c>
      <x:c r="E38" s="64" t="str">
        <x:f>IF('국가 데이터'!K146="","",'국가 데이터'!K146)</x:f>
        <x:v>보조자료 분류·공식 확인 필요</x:v>
      </x:c>
      <x:c r="F38" s="65" t="str">
        <x:f>IF('국가 데이터'!N146="","",'국가 데이터'!N146)</x:f>
      </x:c>
      <x:c r="G38" s="65" t="str">
        <x:f>IF('국가 데이터'!R146="","",'국가 데이터'!R146)</x:f>
      </x:c>
      <x:c r="H38" s="64" t="str">
        <x:v>국가 데이터 146행</x:v>
      </x:c>
    </x:row>
    <x:row r="39">
      <x:c r="A39" s="64" t="str">
        <x:f>IF('국가 데이터'!M148="","",'국가 데이터'!M148)</x:f>
        <x:v>P0</x:v>
      </x:c>
      <x:c r="B39" s="64" t="str">
        <x:f>IF('국가 데이터'!B148="","",'국가 데이터'!B148)</x:f>
        <x:v>코트디부아르</x:v>
      </x:c>
      <x:c r="C39" s="64" t="str">
        <x:f>IF('국가 데이터'!F148="","",'국가 데이터'!F148)</x:f>
        <x:v>전자비자(eVisa)</x:v>
      </x:c>
      <x:c r="D39" s="64" t="str">
        <x:f>IF('국가 데이터'!G148="","",'국가 데이터'!G148)</x:f>
        <x:v>예</x:v>
      </x:c>
      <x:c r="E39" s="64" t="str">
        <x:f>IF('국가 데이터'!K148="","",'국가 데이터'!K148)</x:f>
        <x:v>보조자료 분류·공식 확인 필요</x:v>
      </x:c>
      <x:c r="F39" s="65" t="str">
        <x:f>IF('국가 데이터'!N148="","",'국가 데이터'!N148)</x:f>
      </x:c>
      <x:c r="G39" s="65" t="str">
        <x:f>IF('국가 데이터'!R148="","",'국가 데이터'!R148)</x:f>
        <x:v>사전등록 후 공항 발급 절차 확인</x:v>
      </x:c>
      <x:c r="H39" s="64" t="str">
        <x:v>국가 데이터 148행</x:v>
      </x:c>
    </x:row>
    <x:row r="40">
      <x:c r="A40" s="64" t="str">
        <x:f>IF('국가 데이터'!M149="","",'국가 데이터'!M149)</x:f>
        <x:v>P0</x:v>
      </x:c>
      <x:c r="B40" s="64" t="str">
        <x:f>IF('국가 데이터'!B149="","",'국가 데이터'!B149)</x:f>
        <x:v>콩고공화국</x:v>
      </x:c>
      <x:c r="C40" s="64" t="str">
        <x:f>IF('국가 데이터'!F149="","",'국가 데이터'!F149)</x:f>
        <x:v>대사관·영사관 사전비자</x:v>
      </x:c>
      <x:c r="D40" s="64" t="str">
        <x:f>IF('국가 데이터'!G149="","",'국가 데이터'!G149)</x:f>
        <x:v>예</x:v>
      </x:c>
      <x:c r="E40" s="64" t="str">
        <x:f>IF('국가 데이터'!K149="","",'국가 데이터'!K149)</x:f>
        <x:v>보조자료 분류·공식 확인 필요</x:v>
      </x:c>
      <x:c r="F40" s="65" t="str">
        <x:f>IF('국가 데이터'!N149="","",'국가 데이터'!N149)</x:f>
      </x:c>
      <x:c r="G40" s="65" t="str">
        <x:f>IF('국가 데이터'!R149="","",'국가 데이터'!R149)</x:f>
      </x:c>
      <x:c r="H40" s="64" t="str">
        <x:v>국가 데이터 149행</x:v>
      </x:c>
    </x:row>
    <x:row r="41">
      <x:c r="A41" s="64" t="str">
        <x:f>IF('국가 데이터'!M150="","",'국가 데이터'!M150)</x:f>
        <x:v>P0</x:v>
      </x:c>
      <x:c r="B41" s="64" t="str">
        <x:f>IF('국가 데이터'!B150="","",'국가 데이터'!B150)</x:f>
        <x:v>콩고민주공화국</x:v>
      </x:c>
      <x:c r="C41" s="64" t="str">
        <x:f>IF('국가 데이터'!F150="","",'국가 데이터'!F150)</x:f>
        <x:v>전자비자(eVisa)</x:v>
      </x:c>
      <x:c r="D41" s="64" t="str">
        <x:f>IF('국가 데이터'!G150="","",'국가 데이터'!G150)</x:f>
        <x:v>예</x:v>
      </x:c>
      <x:c r="E41" s="64" t="str">
        <x:f>IF('국가 데이터'!K150="","",'국가 데이터'!K150)</x:f>
        <x:v>보조자료 분류·공식 확인 필요</x:v>
      </x:c>
      <x:c r="F41" s="65" t="str">
        <x:f>IF('국가 데이터'!N150="","",'국가 데이터'!N150)</x:f>
      </x:c>
      <x:c r="G41" s="65" t="str">
        <x:f>IF('국가 데이터'!R150="","",'국가 데이터'!R150)</x:f>
      </x:c>
      <x:c r="H41" s="64" t="str">
        <x:v>국가 데이터 150행</x:v>
      </x:c>
    </x:row>
    <x:row r="42">
      <x:c r="A42" s="64" t="str">
        <x:f>IF('국가 데이터'!M37="","",'국가 데이터'!M37)</x:f>
        <x:v>P0</x:v>
      </x:c>
      <x:c r="B42" s="64" t="str">
        <x:f>IF('국가 데이터'!B37="","",'국가 데이터'!B37)</x:f>
        <x:v>쿠바</x:v>
      </x:c>
      <x:c r="C42" s="64" t="str">
        <x:f>IF('국가 데이터'!F37="","",'국가 데이터'!F37)</x:f>
        <x:v>전자비자(eVisa)</x:v>
      </x:c>
      <x:c r="D42" s="64" t="str">
        <x:f>IF('국가 데이터'!G37="","",'국가 데이터'!G37)</x:f>
        <x:v>예</x:v>
      </x:c>
      <x:c r="E42" s="64" t="str">
        <x:f>IF('국가 데이터'!K37="","",'국가 데이터'!K37)</x:f>
        <x:v>보조자료 분류·공식 확인 필요</x:v>
      </x:c>
      <x:c r="F42" s="65" t="str">
        <x:f>IF('국가 데이터'!N37="","",'국가 데이터'!N37)</x:f>
      </x:c>
      <x:c r="G42" s="65" t="str">
        <x:f>IF('국가 데이터'!R37="","",'국가 데이터'!R37)</x:f>
      </x:c>
      <x:c r="H42" s="64" t="str">
        <x:v>국가 데이터 37행</x:v>
      </x:c>
    </x:row>
    <x:row r="43">
      <x:c r="A43" s="64" t="str">
        <x:f>IF('국가 데이터'!M153="","",'국가 데이터'!M153)</x:f>
        <x:v>P0</x:v>
      </x:c>
      <x:c r="B43" s="64" t="str">
        <x:f>IF('국가 데이터'!B153="","",'국가 데이터'!B153)</x:f>
        <x:v>토고</x:v>
      </x:c>
      <x:c r="C43" s="64" t="str">
        <x:f>IF('국가 데이터'!F153="","",'국가 데이터'!F153)</x:f>
        <x:v>전자비자(eVisa)</x:v>
      </x:c>
      <x:c r="D43" s="64" t="str">
        <x:f>IF('국가 데이터'!G153="","",'국가 데이터'!G153)</x:f>
        <x:v>예</x:v>
      </x:c>
      <x:c r="E43" s="64" t="str">
        <x:f>IF('국가 데이터'!K153="","",'국가 데이터'!K153)</x:f>
        <x:v>보조자료 분류·공식 확인 필요</x:v>
      </x:c>
      <x:c r="F43" s="65" t="str">
        <x:f>IF('국가 데이터'!N153="","",'국가 데이터'!N153)</x:f>
      </x:c>
      <x:c r="G43" s="65" t="str">
        <x:f>IF('국가 데이터'!R153="","",'국가 데이터'!R153)</x:f>
      </x:c>
      <x:c r="H43" s="64" t="str">
        <x:v>국가 데이터 153행</x:v>
      </x:c>
    </x:row>
    <x:row r="44">
      <x:c r="A44" s="64" t="str">
        <x:f>IF('국가 데이터'!M79="","",'국가 데이터'!M79)</x:f>
        <x:v>P0</x:v>
      </x:c>
      <x:c r="B44" s="64" t="str">
        <x:f>IF('국가 데이터'!B79="","",'국가 데이터'!B79)</x:f>
        <x:v>투르크메니스탄</x:v>
      </x:c>
      <x:c r="C44" s="64" t="str">
        <x:f>IF('국가 데이터'!F79="","",'국가 데이터'!F79)</x:f>
        <x:v>대사관·영사관 사전비자</x:v>
      </x:c>
      <x:c r="D44" s="64" t="str">
        <x:f>IF('국가 데이터'!G79="","",'국가 데이터'!G79)</x:f>
        <x:v>예</x:v>
      </x:c>
      <x:c r="E44" s="64" t="str">
        <x:f>IF('국가 데이터'!K79="","",'국가 데이터'!K79)</x:f>
        <x:v>보조자료 분류·공식 확인 필요</x:v>
      </x:c>
      <x:c r="F44" s="65" t="str">
        <x:f>IF('국가 데이터'!N79="","",'국가 데이터'!N79)</x:f>
      </x:c>
      <x:c r="G44" s="65" t="str">
        <x:f>IF('국가 데이터'!R79="","",'국가 데이터'!R79)</x:f>
      </x:c>
      <x:c r="H44" s="64" t="str">
        <x:v>국가 데이터 79행</x:v>
      </x:c>
    </x:row>
    <x:row r="45">
      <x:c r="A45" s="64" t="str">
        <x:f>IF('국가 데이터'!M81="","",'국가 데이터'!M81)</x:f>
        <x:v>P0</x:v>
      </x:c>
      <x:c r="B45" s="64" t="str">
        <x:f>IF('국가 데이터'!B81="","",'국가 데이터'!B81)</x:f>
        <x:v>파키스탄</x:v>
      </x:c>
      <x:c r="C45" s="64" t="str">
        <x:f>IF('국가 데이터'!F81="","",'국가 데이터'!F81)</x:f>
        <x:v>전자비자(eVisa)</x:v>
      </x:c>
      <x:c r="D45" s="64" t="str">
        <x:f>IF('국가 데이터'!G81="","",'국가 데이터'!G81)</x:f>
        <x:v>예</x:v>
      </x:c>
      <x:c r="E45" s="64" t="str">
        <x:f>IF('국가 데이터'!K81="","",'국가 데이터'!K81)</x:f>
        <x:v>보조자료 분류·공식 확인 필요</x:v>
      </x:c>
      <x:c r="F45" s="65" t="str">
        <x:f>IF('국가 데이터'!N81="","",'국가 데이터'!N81)</x:f>
      </x:c>
      <x:c r="G45" s="65" t="str">
        <x:f>IF('국가 데이터'!R81="","",'국가 데이터'!R81)</x:f>
      </x:c>
      <x:c r="H45" s="64" t="str">
        <x:v>국가 데이터 81행</x:v>
      </x:c>
    </x:row>
    <x:row r="46">
      <x:c r="A46" s="64" t="str">
        <x:f>IF('국가 데이터'!M82="","",'국가 데이터'!M82)</x:f>
        <x:v>P0</x:v>
      </x:c>
      <x:c r="B46" s="64" t="str">
        <x:f>IF('국가 데이터'!B82="","",'국가 데이터'!B82)</x:f>
        <x:v>파푸아뉴기니</x:v>
      </x:c>
      <x:c r="C46" s="64" t="str">
        <x:f>IF('국가 데이터'!F82="","",'국가 데이터'!F82)</x:f>
        <x:v>전자비자(eVisa)</x:v>
      </x:c>
      <x:c r="D46" s="64" t="str">
        <x:f>IF('국가 데이터'!G82="","",'국가 데이터'!G82)</x:f>
        <x:v>예</x:v>
      </x:c>
      <x:c r="E46" s="64" t="str">
        <x:f>IF('국가 데이터'!K82="","",'국가 데이터'!K82)</x:f>
        <x:v>보조자료 분류·공식 확인 필요</x:v>
      </x:c>
      <x:c r="F46" s="65" t="str">
        <x:f>IF('국가 데이터'!N82="","",'국가 데이터'!N82)</x:f>
      </x:c>
      <x:c r="G46" s="65" t="str">
        <x:f>IF('국가 데이터'!R82="","",'국가 데이터'!R82)</x:f>
        <x:v>eVisitor 경로</x:v>
      </x:c>
      <x:c r="H46" s="64" t="str">
        <x:v>국가 데이터 82행</x:v>
      </x:c>
    </x:row>
    <x:row r="47">
      <x:c r="A47" s="64" t="str">
        <x:f>IF('국가 데이터'!M86="","",'국가 데이터'!M86)</x:f>
        <x:v>P0</x:v>
      </x:c>
      <x:c r="B47" s="64" t="str">
        <x:f>IF('국가 데이터'!B86="","",'국가 데이터'!B86)</x:f>
        <x:v>호주 (오스트레일리아)</x:v>
      </x:c>
      <x:c r="C47" s="64" t="str">
        <x:f>IF('국가 데이터'!F86="","",'국가 데이터'!F86)</x:f>
        <x:v>전자여행허가(ETA)</x:v>
      </x:c>
      <x:c r="D47" s="64" t="str">
        <x:f>IF('국가 데이터'!G86="","",'국가 데이터'!G86)</x:f>
        <x:v>예</x:v>
      </x:c>
      <x:c r="E47" s="64" t="str">
        <x:f>IF('국가 데이터'!K86="","",'국가 데이터'!K86)</x:f>
        <x:v>보조자료 분류·공식 확인 필요</x:v>
      </x:c>
      <x:c r="F47" s="65" t="str">
        <x:f>IF('국가 데이터'!N86="","",'국가 데이터'!N86)</x:f>
      </x:c>
      <x:c r="G47" s="65" t="str">
        <x:f>IF('국가 데이터'!R86="","",'국가 데이터'!R86)</x:f>
        <x:v>ETA 601</x:v>
      </x:c>
      <x:c r="H47" s="64" t="str">
        <x:v>국가 데이터 86행</x:v>
      </x:c>
    </x:row>
    <x:row r="48">
      <x:c r="A48" s="64" t="str">
        <x:f>IF('국가 데이터'!M92="","",'국가 데이터'!M92)</x:f>
        <x:v>P1</x:v>
      </x:c>
      <x:c r="B48" s="64" t="str">
        <x:f>IF('국가 데이터'!B92="","",'국가 데이터'!B92)</x:f>
        <x:v>기니비사우</x:v>
      </x:c>
      <x:c r="C48" s="64" t="str">
        <x:f>IF('국가 데이터'!F92="","",'국가 데이터'!F92)</x:f>
        <x:v>도착비자</x:v>
      </x:c>
      <x:c r="D48" s="64" t="str">
        <x:f>IF('국가 데이터'!G92="","",'국가 데이터'!G92)</x:f>
        <x:v>아니오</x:v>
      </x:c>
      <x:c r="E48" s="64" t="str">
        <x:f>IF('국가 데이터'!K92="","",'국가 데이터'!K92)</x:f>
        <x:v>보조자료 분류·공식 확인 필요</x:v>
      </x:c>
      <x:c r="F48" s="65" t="str">
        <x:f>IF('국가 데이터'!N92="","",'국가 데이터'!N92)</x:f>
      </x:c>
      <x:c r="G48" s="65" t="str">
        <x:f>IF('국가 데이터'!R92="","",'국가 데이터'!R92)</x:f>
      </x:c>
      <x:c r="H48" s="64" t="str">
        <x:v>국가 데이터 92행</x:v>
      </x:c>
    </x:row>
    <x:row r="49">
      <x:c r="A49" s="64" t="str">
        <x:f>IF('국가 데이터'!M93="","",'국가 데이터'!M93)</x:f>
        <x:v>P1</x:v>
      </x:c>
      <x:c r="B49" s="64" t="str">
        <x:f>IF('국가 데이터'!B93="","",'국가 데이터'!B93)</x:f>
        <x:v>나미비아</x:v>
      </x:c>
      <x:c r="C49" s="64" t="str">
        <x:f>IF('국가 데이터'!F93="","",'국가 데이터'!F93)</x:f>
        <x:v>전자비자/도착비자</x:v>
      </x:c>
      <x:c r="D49" s="64" t="str">
        <x:f>IF('국가 데이터'!G93="","",'국가 데이터'!G93)</x:f>
        <x:v>선택 가능</x:v>
      </x:c>
      <x:c r="E49" s="64" t="str">
        <x:f>IF('국가 데이터'!K93="","",'국가 데이터'!K93)</x:f>
        <x:v>보조자료 분류·공식 확인 필요</x:v>
      </x:c>
      <x:c r="F49" s="65" t="str">
        <x:f>IF('국가 데이터'!N93="","",'국가 데이터'!N93)</x:f>
      </x:c>
      <x:c r="G49" s="65" t="str">
        <x:f>IF('국가 데이터'!R93="","",'국가 데이터'!R93)</x:f>
      </x:c>
      <x:c r="H49" s="64" t="str">
        <x:v>국가 데이터 93행</x:v>
      </x:c>
    </x:row>
    <x:row r="50">
      <x:c r="A50" s="64" t="str">
        <x:f>IF('국가 데이터'!M43="","",'국가 데이터'!M43)</x:f>
        <x:v>P1</x:v>
      </x:c>
      <x:c r="B50" s="64" t="str">
        <x:f>IF('국가 데이터'!B43="","",'국가 데이터'!B43)</x:f>
        <x:v>네팔</x:v>
      </x:c>
      <x:c r="C50" s="64" t="str">
        <x:f>IF('국가 데이터'!F43="","",'국가 데이터'!F43)</x:f>
        <x:v>전자비자/도착비자</x:v>
      </x:c>
      <x:c r="D50" s="64" t="str">
        <x:f>IF('국가 데이터'!G43="","",'국가 데이터'!G43)</x:f>
        <x:v>선택 가능</x:v>
      </x:c>
      <x:c r="E50" s="64" t="str">
        <x:f>IF('국가 데이터'!K43="","",'국가 데이터'!K43)</x:f>
        <x:v>보조자료 분류·공식 확인 필요</x:v>
      </x:c>
      <x:c r="F50" s="65" t="str">
        <x:f>IF('국가 데이터'!N43="","",'국가 데이터'!N43)</x:f>
      </x:c>
      <x:c r="G50" s="65" t="str">
        <x:f>IF('국가 데이터'!R43="","",'국가 데이터'!R43)</x:f>
        <x:v>도착비자 체류기간 선택형</x:v>
      </x:c>
      <x:c r="H50" s="64" t="str">
        <x:v>국가 데이터 43행</x:v>
      </x:c>
    </x:row>
    <x:row r="51">
      <x:c r="A51" s="64" t="str">
        <x:f>IF('국가 데이터'!M10="","",'국가 데이터'!M10)</x:f>
        <x:v>P1</x:v>
      </x:c>
      <x:c r="B51" s="64" t="str">
        <x:f>IF('국가 데이터'!B10="","",'국가 데이터'!B10)</x:f>
        <x:v>도미니카공화국</x:v>
      </x:c>
      <x:c r="C51" s="64" t="str">
        <x:f>IF('국가 데이터'!F10="","",'국가 데이터'!F10)</x:f>
        <x:v>무사증+입국등록</x:v>
      </x:c>
      <x:c r="D51" s="64" t="str">
        <x:f>IF('국가 데이터'!G10="","",'국가 데이터'!G10)</x:f>
        <x:v>예</x:v>
      </x:c>
      <x:c r="E51" s="64" t="str">
        <x:f>IF('국가 데이터'!K10="","",'국가 데이터'!K10)</x:f>
        <x:v>보조자료 분류·공식 확인 필요</x:v>
      </x:c>
      <x:c r="F51" s="65" t="str">
        <x:f>IF('국가 데이터'!N10="","",'국가 데이터'!N10)</x:f>
      </x:c>
      <x:c r="G51" s="65" t="str">
        <x:f>IF('국가 데이터'!R10="","",'국가 데이터'!R10)</x:f>
        <x:v>E-Ticket 등록</x:v>
      </x:c>
      <x:c r="H51" s="64" t="str">
        <x:v>국가 데이터 10행</x:v>
      </x:c>
    </x:row>
    <x:row r="52">
      <x:c r="A52" s="64" t="str">
        <x:f>IF('국가 데이터'!M47="","",'국가 데이터'!M47)</x:f>
        <x:v>P1</x:v>
      </x:c>
      <x:c r="B52" s="64" t="str">
        <x:f>IF('국가 데이터'!B47="","",'국가 데이터'!B47)</x:f>
        <x:v>동티모르</x:v>
      </x:c>
      <x:c r="C52" s="64" t="str">
        <x:f>IF('국가 데이터'!F47="","",'국가 데이터'!F47)</x:f>
        <x:v>도착비자</x:v>
      </x:c>
      <x:c r="D52" s="64" t="str">
        <x:f>IF('국가 데이터'!G47="","",'국가 데이터'!G47)</x:f>
        <x:v>아니오</x:v>
      </x:c>
      <x:c r="E52" s="64" t="str">
        <x:f>IF('국가 데이터'!K47="","",'국가 데이터'!K47)</x:f>
        <x:v>보조자료 분류·공식 확인 필요</x:v>
      </x:c>
      <x:c r="F52" s="65" t="str">
        <x:f>IF('국가 데이터'!N47="","",'국가 데이터'!N47)</x:f>
      </x:c>
      <x:c r="G52" s="65" t="str">
        <x:f>IF('국가 데이터'!R47="","",'국가 데이터'!R47)</x:f>
      </x:c>
      <x:c r="H52" s="64" t="str">
        <x:v>국가 데이터 47행</x:v>
      </x:c>
    </x:row>
    <x:row r="53">
      <x:c r="A53" s="64" t="str">
        <x:f>IF('국가 데이터'!M99="","",'국가 데이터'!M99)</x:f>
        <x:v>P1</x:v>
      </x:c>
      <x:c r="B53" s="64" t="str">
        <x:f>IF('국가 데이터'!B99="","",'국가 데이터'!B99)</x:f>
        <x:v>레바논</x:v>
      </x:c>
      <x:c r="C53" s="64" t="str">
        <x:f>IF('국가 데이터'!F99="","",'국가 데이터'!F99)</x:f>
        <x:v>도착비자</x:v>
      </x:c>
      <x:c r="D53" s="64" t="str">
        <x:f>IF('국가 데이터'!G99="","",'국가 데이터'!G99)</x:f>
        <x:v>아니오</x:v>
      </x:c>
      <x:c r="E53" s="64" t="str">
        <x:f>IF('국가 데이터'!K99="","",'국가 데이터'!K99)</x:f>
        <x:v>보조자료 분류·공식 확인 필요</x:v>
      </x:c>
      <x:c r="F53" s="65" t="str">
        <x:f>IF('국가 데이터'!N99="","",'국가 데이터'!N99)</x:f>
      </x:c>
      <x:c r="G53" s="65" t="str">
        <x:f>IF('국가 데이터'!R99="","",'국가 데이터'!R99)</x:f>
        <x:v>조건부 입국 가능성 확인 필요</x:v>
      </x:c>
      <x:c r="H53" s="64" t="str">
        <x:v>국가 데이터 99행</x:v>
      </x:c>
    </x:row>
    <x:row r="54">
      <x:c r="A54" s="64" t="str">
        <x:f>IF('국가 데이터'!M101="","",'국가 데이터'!M101)</x:f>
        <x:v>P1</x:v>
      </x:c>
      <x:c r="B54" s="64" t="str">
        <x:f>IF('국가 데이터'!B101="","",'국가 데이터'!B101)</x:f>
        <x:v>르완다</x:v>
      </x:c>
      <x:c r="C54" s="64" t="str">
        <x:f>IF('국가 데이터'!F101="","",'국가 데이터'!F101)</x:f>
        <x:v>전자비자/도착비자</x:v>
      </x:c>
      <x:c r="D54" s="64" t="str">
        <x:f>IF('국가 데이터'!G101="","",'국가 데이터'!G101)</x:f>
        <x:v>선택 가능</x:v>
      </x:c>
      <x:c r="E54" s="64" t="str">
        <x:f>IF('국가 데이터'!K101="","",'국가 데이터'!K101)</x:f>
        <x:v>보조자료 분류·공식 확인 필요</x:v>
      </x:c>
      <x:c r="F54" s="65" t="str">
        <x:f>IF('국가 데이터'!N101="","",'국가 데이터'!N101)</x:f>
      </x:c>
      <x:c r="G54" s="65" t="str">
        <x:f>IF('국가 데이터'!R101="","",'국가 데이터'!R101)</x:f>
      </x:c>
      <x:c r="H54" s="64" t="str">
        <x:v>국가 데이터 101행</x:v>
      </x:c>
    </x:row>
    <x:row r="55">
      <x:c r="A55" s="64" t="str">
        <x:f>IF('국가 데이터'!M103="","",'국가 데이터'!M103)</x:f>
        <x:v>P1</x:v>
      </x:c>
      <x:c r="B55" s="64" t="str">
        <x:f>IF('국가 데이터'!B103="","",'국가 데이터'!B103)</x:f>
        <x:v>마다가스카르</x:v>
      </x:c>
      <x:c r="C55" s="64" t="str">
        <x:f>IF('국가 데이터'!F103="","",'국가 데이터'!F103)</x:f>
        <x:v>전자비자/도착비자</x:v>
      </x:c>
      <x:c r="D55" s="64" t="str">
        <x:f>IF('국가 데이터'!G103="","",'국가 데이터'!G103)</x:f>
        <x:v>선택 가능</x:v>
      </x:c>
      <x:c r="E55" s="64" t="str">
        <x:f>IF('국가 데이터'!K103="","",'국가 데이터'!K103)</x:f>
        <x:v>보조자료 분류·공식 확인 필요</x:v>
      </x:c>
      <x:c r="F55" s="65" t="str">
        <x:f>IF('국가 데이터'!N103="","",'국가 데이터'!N103)</x:f>
      </x:c>
      <x:c r="G55" s="65" t="str">
        <x:f>IF('국가 데이터'!R103="","",'국가 데이터'!R103)</x:f>
      </x:c>
      <x:c r="H55" s="64" t="str">
        <x:v>국가 데이터 103행</x:v>
      </x:c>
    </x:row>
    <x:row r="56">
      <x:c r="A56" s="64" t="str">
        <x:f>IF('국가 데이터'!M104="","",'국가 데이터'!M104)</x:f>
        <x:v>P1</x:v>
      </x:c>
      <x:c r="B56" s="64" t="str">
        <x:f>IF('국가 데이터'!B104="","",'국가 데이터'!B104)</x:f>
        <x:v>말라위</x:v>
      </x:c>
      <x:c r="C56" s="64" t="str">
        <x:f>IF('국가 데이터'!F104="","",'국가 데이터'!F104)</x:f>
        <x:v>전자비자/도착비자</x:v>
      </x:c>
      <x:c r="D56" s="64" t="str">
        <x:f>IF('국가 데이터'!G104="","",'국가 데이터'!G104)</x:f>
        <x:v>선택 가능</x:v>
      </x:c>
      <x:c r="E56" s="64" t="str">
        <x:f>IF('국가 데이터'!K104="","",'국가 데이터'!K104)</x:f>
        <x:v>보조자료 분류·공식 확인 필요</x:v>
      </x:c>
      <x:c r="F56" s="65" t="str">
        <x:f>IF('국가 데이터'!N104="","",'국가 데이터'!N104)</x:f>
      </x:c>
      <x:c r="G56" s="65" t="str">
        <x:f>IF('국가 데이터'!R104="","",'국가 데이터'!R104)</x:f>
      </x:c>
      <x:c r="H56" s="64" t="str">
        <x:v>국가 데이터 104행</x:v>
      </x:c>
    </x:row>
    <x:row r="57">
      <x:c r="A57" s="64" t="str">
        <x:f>IF('국가 데이터'!M52="","",'국가 데이터'!M52)</x:f>
        <x:v>P1</x:v>
      </x:c>
      <x:c r="B57" s="64" t="str">
        <x:f>IF('국가 데이터'!B52="","",'국가 데이터'!B52)</x:f>
        <x:v>말레이시아</x:v>
      </x:c>
      <x:c r="C57" s="64" t="str">
        <x:f>IF('국가 데이터'!F52="","",'국가 데이터'!F52)</x:f>
        <x:v>무사증+입국등록</x:v>
      </x:c>
      <x:c r="D57" s="64" t="str">
        <x:f>IF('국가 데이터'!G52="","",'국가 데이터'!G52)</x:f>
        <x:v>예</x:v>
      </x:c>
      <x:c r="E57" s="64" t="str">
        <x:f>IF('국가 데이터'!K52="","",'국가 데이터'!K52)</x:f>
        <x:v>보조자료 분류·공식 확인 필요</x:v>
      </x:c>
      <x:c r="F57" s="65" t="str">
        <x:f>IF('국가 데이터'!N52="","",'국가 데이터'!N52)</x:f>
      </x:c>
      <x:c r="G57" s="65" t="str">
        <x:f>IF('국가 데이터'!R52="","",'국가 데이터'!R52)</x:f>
        <x:v>도착 전 입국카드 등록</x:v>
      </x:c>
      <x:c r="H57" s="64" t="str">
        <x:v>국가 데이터 52행</x:v>
      </x:c>
    </x:row>
    <x:row r="58">
      <x:c r="A58" s="64" t="str">
        <x:f>IF('국가 데이터'!M109="","",'국가 데이터'!M109)</x:f>
        <x:v>P1</x:v>
      </x:c>
      <x:c r="B58" s="64" t="str">
        <x:f>IF('국가 데이터'!B109="","",'국가 데이터'!B109)</x:f>
        <x:v>모잠비크</x:v>
      </x:c>
      <x:c r="C58" s="64" t="str">
        <x:f>IF('국가 데이터'!F109="","",'국가 데이터'!F109)</x:f>
        <x:v>무사증+입국등록</x:v>
      </x:c>
      <x:c r="D58" s="64" t="str">
        <x:f>IF('국가 데이터'!G109="","",'국가 데이터'!G109)</x:f>
        <x:v>예</x:v>
      </x:c>
      <x:c r="E58" s="64" t="str">
        <x:f>IF('국가 데이터'!K109="","",'국가 데이터'!K109)</x:f>
        <x:v>보조자료 분류·공식 확인 필요</x:v>
      </x:c>
      <x:c r="F58" s="65" t="str">
        <x:f>IF('국가 데이터'!N109="","",'국가 데이터'!N109)</x:f>
      </x:c>
      <x:c r="G58" s="65" t="str">
        <x:f>IF('국가 데이터'!R109="","",'국가 데이터'!R109)</x:f>
        <x:v>2026 무사증 대상 확대; 전자등록 여부 재확인</x:v>
      </x:c>
      <x:c r="H58" s="64" t="str">
        <x:v>국가 데이터 109행</x:v>
      </x:c>
    </x:row>
    <x:row r="59">
      <x:c r="A59" s="64" t="str">
        <x:f>IF('국가 데이터'!M53="","",'국가 데이터'!M53)</x:f>
        <x:v>P1</x:v>
      </x:c>
      <x:c r="B59" s="64" t="str">
        <x:f>IF('국가 데이터'!B53="","",'국가 데이터'!B53)</x:f>
        <x:v>몰디브</x:v>
      </x:c>
      <x:c r="C59" s="64" t="str">
        <x:f>IF('국가 데이터'!F53="","",'국가 데이터'!F53)</x:f>
        <x:v>도착비자</x:v>
      </x:c>
      <x:c r="D59" s="64" t="str">
        <x:f>IF('국가 데이터'!G53="","",'국가 데이터'!G53)</x:f>
        <x:v>아니오</x:v>
      </x:c>
      <x:c r="E59" s="64" t="str">
        <x:f>IF('국가 데이터'!K53="","",'국가 데이터'!K53)</x:f>
        <x:v>보조자료 분류·공식 확인 필요</x:v>
      </x:c>
      <x:c r="F59" s="65" t="str">
        <x:f>IF('국가 데이터'!N53="","",'국가 데이터'!N53)</x:f>
      </x:c>
      <x:c r="G59" s="65" t="str">
        <x:f>IF('국가 데이터'!R53="","",'국가 데이터'!R53)</x:f>
      </x:c>
      <x:c r="H59" s="64" t="str">
        <x:v>국가 데이터 53행</x:v>
      </x:c>
    </x:row>
    <x:row r="60">
      <x:c r="A60" s="64" t="str">
        <x:f>IF('국가 데이터'!M55="","",'국가 데이터'!M55)</x:f>
        <x:v>P1</x:v>
      </x:c>
      <x:c r="B60" s="64" t="str">
        <x:f>IF('국가 데이터'!B55="","",'국가 데이터'!B55)</x:f>
        <x:v>미얀마</x:v>
      </x:c>
      <x:c r="C60" s="64" t="str">
        <x:f>IF('국가 데이터'!F55="","",'국가 데이터'!F55)</x:f>
        <x:v>전자비자/도착비자</x:v>
      </x:c>
      <x:c r="D60" s="64" t="str">
        <x:f>IF('국가 데이터'!G55="","",'국가 데이터'!G55)</x:f>
        <x:v>선택 가능</x:v>
      </x:c>
      <x:c r="E60" s="64" t="str">
        <x:f>IF('국가 데이터'!K55="","",'국가 데이터'!K55)</x:f>
        <x:v>보조자료 분류·공식 확인 필요</x:v>
      </x:c>
      <x:c r="F60" s="65" t="str">
        <x:f>IF('국가 데이터'!N55="","",'국가 데이터'!N55)</x:f>
      </x:c>
      <x:c r="G60" s="65" t="str">
        <x:f>IF('국가 데이터'!R55="","",'국가 데이터'!R55)</x:f>
        <x:v>일부 지역 여권 사용 제한 확인</x:v>
      </x:c>
      <x:c r="H60" s="64" t="str">
        <x:v>국가 데이터 55행</x:v>
      </x:c>
    </x:row>
    <x:row r="61">
      <x:c r="A61" s="64" t="str">
        <x:f>IF('국가 데이터'!M56="","",'국가 데이터'!M56)</x:f>
        <x:v>P1</x:v>
      </x:c>
      <x:c r="B61" s="64" t="str">
        <x:f>IF('국가 데이터'!B56="","",'국가 데이터'!B56)</x:f>
        <x:v>바누아투</x:v>
      </x:c>
      <x:c r="C61" s="64" t="str">
        <x:f>IF('국가 데이터'!F56="","",'국가 데이터'!F56)</x:f>
        <x:v>도착비자</x:v>
      </x:c>
      <x:c r="D61" s="64" t="str">
        <x:f>IF('국가 데이터'!G56="","",'국가 데이터'!G56)</x:f>
        <x:v>아니오</x:v>
      </x:c>
      <x:c r="E61" s="64" t="str">
        <x:f>IF('국가 데이터'!K56="","",'국가 데이터'!K56)</x:f>
        <x:v>외교부 기준·갱신 확인 필요</x:v>
      </x:c>
      <x:c r="F61" s="65" t="str">
        <x:f>IF('국가 데이터'!N56="","",'국가 데이터'!N56)</x:f>
      </x:c>
      <x:c r="G61" s="65" t="str">
        <x:f>IF('국가 데이터'!R56="","",'국가 데이터'!R56)</x:f>
      </x:c>
      <x:c r="H61" s="64" t="str">
        <x:v>국가 데이터 56행</x:v>
      </x:c>
    </x:row>
    <x:row r="62">
      <x:c r="A62" s="64" t="str">
        <x:f>IF('국가 데이터'!M110="","",'국가 데이터'!M110)</x:f>
        <x:v>P1</x:v>
      </x:c>
      <x:c r="B62" s="64" t="str">
        <x:f>IF('국가 데이터'!B110="","",'국가 데이터'!B110)</x:f>
        <x:v>바레인</x:v>
      </x:c>
      <x:c r="C62" s="64" t="str">
        <x:f>IF('국가 데이터'!F110="","",'국가 데이터'!F110)</x:f>
        <x:v>전자비자/도착비자</x:v>
      </x:c>
      <x:c r="D62" s="64" t="str">
        <x:f>IF('국가 데이터'!G110="","",'국가 데이터'!G110)</x:f>
        <x:v>선택 가능</x:v>
      </x:c>
      <x:c r="E62" s="64" t="str">
        <x:f>IF('국가 데이터'!K110="","",'국가 데이터'!K110)</x:f>
        <x:v>보조자료 분류·공식 확인 필요</x:v>
      </x:c>
      <x:c r="F62" s="65" t="str">
        <x:f>IF('국가 데이터'!N110="","",'국가 데이터'!N110)</x:f>
      </x:c>
      <x:c r="G62" s="65" t="str">
        <x:f>IF('국가 데이터'!R110="","",'국가 데이터'!R110)</x:f>
      </x:c>
      <x:c r="H62" s="64" t="str">
        <x:v>국가 데이터 110행</x:v>
      </x:c>
    </x:row>
    <x:row r="63">
      <x:c r="A63" s="64" t="str">
        <x:f>IF('국가 데이터'!M57="","",'국가 데이터'!M57)</x:f>
        <x:v>P1</x:v>
      </x:c>
      <x:c r="B63" s="64" t="str">
        <x:f>IF('국가 데이터'!B57="","",'국가 데이터'!B57)</x:f>
        <x:v>방글라데시</x:v>
      </x:c>
      <x:c r="C63" s="64" t="str">
        <x:f>IF('국가 데이터'!F57="","",'국가 데이터'!F57)</x:f>
        <x:v>도착비자</x:v>
      </x:c>
      <x:c r="D63" s="64" t="str">
        <x:f>IF('국가 데이터'!G57="","",'국가 데이터'!G57)</x:f>
        <x:v>아니오</x:v>
      </x:c>
      <x:c r="E63" s="64" t="str">
        <x:f>IF('국가 데이터'!K57="","",'국가 데이터'!K57)</x:f>
        <x:v>보조자료 분류·공식 확인 필요</x:v>
      </x:c>
      <x:c r="F63" s="65" t="str">
        <x:f>IF('국가 데이터'!N57="","",'국가 데이터'!N57)</x:f>
      </x:c>
      <x:c r="G63" s="65" t="str">
        <x:f>IF('국가 데이터'!R57="","",'국가 데이터'!R57)</x:f>
        <x:v>도착비자 거절 가능성 및 현금 수수료 확인</x:v>
      </x:c>
      <x:c r="H63" s="64" t="str">
        <x:v>국가 데이터 57행</x:v>
      </x:c>
    </x:row>
    <x:row r="64">
      <x:c r="A64" s="64" t="str">
        <x:f>IF('국가 데이터'!M113="","",'국가 데이터'!M113)</x:f>
        <x:v>P1</x:v>
      </x:c>
      <x:c r="B64" s="64" t="str">
        <x:f>IF('국가 데이터'!B113="","",'국가 데이터'!B113)</x:f>
        <x:v>부룬디</x:v>
      </x:c>
      <x:c r="C64" s="64" t="str">
        <x:f>IF('국가 데이터'!F113="","",'국가 데이터'!F113)</x:f>
        <x:v>전자비자/도착비자</x:v>
      </x:c>
      <x:c r="D64" s="64" t="str">
        <x:f>IF('국가 데이터'!G113="","",'국가 데이터'!G113)</x:f>
        <x:v>선택 가능</x:v>
      </x:c>
      <x:c r="E64" s="64" t="str">
        <x:f>IF('국가 데이터'!K113="","",'국가 데이터'!K113)</x:f>
        <x:v>보조자료 분류·공식 확인 필요</x:v>
      </x:c>
      <x:c r="F64" s="65" t="str">
        <x:f>IF('국가 데이터'!N113="","",'국가 데이터'!N113)</x:f>
      </x:c>
      <x:c r="G64" s="65" t="str">
        <x:f>IF('국가 데이터'!R113="","",'국가 데이터'!R113)</x:f>
      </x:c>
      <x:c r="H64" s="64" t="str">
        <x:v>국가 데이터 113행</x:v>
      </x:c>
    </x:row>
    <x:row r="65">
      <x:c r="A65" s="64" t="str">
        <x:f>IF('국가 데이터'!M115="","",'국가 데이터'!M115)</x:f>
        <x:v>P1</x:v>
      </x:c>
      <x:c r="B65" s="64" t="str">
        <x:f>IF('국가 데이터'!B115="","",'국가 데이터'!B115)</x:f>
        <x:v>사우디아라비아</x:v>
      </x:c>
      <x:c r="C65" s="64" t="str">
        <x:f>IF('국가 데이터'!F115="","",'국가 데이터'!F115)</x:f>
        <x:v>전자비자/도착비자</x:v>
      </x:c>
      <x:c r="D65" s="64" t="str">
        <x:f>IF('국가 데이터'!G115="","",'국가 데이터'!G115)</x:f>
        <x:v>선택 가능</x:v>
      </x:c>
      <x:c r="E65" s="64" t="str">
        <x:f>IF('국가 데이터'!K115="","",'국가 데이터'!K115)</x:f>
        <x:v>보조자료 분류·공식 확인 필요</x:v>
      </x:c>
      <x:c r="F65" s="65" t="str">
        <x:f>IF('국가 데이터'!N115="","",'국가 데이터'!N115)</x:f>
      </x:c>
      <x:c r="G65" s="65" t="str">
        <x:f>IF('국가 데이터'!R115="","",'국가 데이터'!R115)</x:f>
      </x:c>
      <x:c r="H65" s="64" t="str">
        <x:v>국가 데이터 115행</x:v>
      </x:c>
    </x:row>
    <x:row r="66">
      <x:c r="A66" s="64" t="str">
        <x:f>IF('국가 데이터'!M117="","",'국가 데이터'!M117)</x:f>
        <x:v>P1</x:v>
      </x:c>
      <x:c r="B66" s="64" t="str">
        <x:f>IF('국가 데이터'!B117="","",'국가 데이터'!B117)</x:f>
        <x:v>세이셸</x:v>
      </x:c>
      <x:c r="C66" s="64" t="str">
        <x:f>IF('국가 데이터'!F117="","",'국가 데이터'!F117)</x:f>
        <x:v>무사증+입국등록</x:v>
      </x:c>
      <x:c r="D66" s="64" t="str">
        <x:f>IF('국가 데이터'!G117="","",'국가 데이터'!G117)</x:f>
        <x:v>예</x:v>
      </x:c>
      <x:c r="E66" s="64" t="str">
        <x:f>IF('국가 데이터'!K117="","",'국가 데이터'!K117)</x:f>
        <x:v>보조자료 분류·공식 확인 필요</x:v>
      </x:c>
      <x:c r="F66" s="65" t="str">
        <x:f>IF('국가 데이터'!N117="","",'국가 데이터'!N117)</x:f>
      </x:c>
      <x:c r="G66" s="65" t="str">
        <x:f>IF('국가 데이터'!R117="","",'국가 데이터'!R117)</x:f>
        <x:v>여행자 등록 필요</x:v>
      </x:c>
      <x:c r="H66" s="64" t="str">
        <x:v>국가 데이터 117행</x:v>
      </x:c>
    </x:row>
    <x:row r="67">
      <x:c r="A67" s="64" t="str">
        <x:f>IF('국가 데이터'!M63="","",'국가 데이터'!M63)</x:f>
        <x:v>P1</x:v>
      </x:c>
      <x:c r="B67" s="64" t="str">
        <x:f>IF('국가 데이터'!B63="","",'국가 데이터'!B63)</x:f>
        <x:v>솔로몬제도</x:v>
      </x:c>
      <x:c r="C67" s="64" t="str">
        <x:f>IF('국가 데이터'!F63="","",'국가 데이터'!F63)</x:f>
        <x:v>도착비자</x:v>
      </x:c>
      <x:c r="D67" s="64" t="str">
        <x:f>IF('국가 데이터'!G63="","",'국가 데이터'!G63)</x:f>
        <x:v>아니오</x:v>
      </x:c>
      <x:c r="E67" s="64" t="str">
        <x:f>IF('국가 데이터'!K63="","",'국가 데이터'!K63)</x:f>
        <x:v>외교부 기준·갱신 확인 필요</x:v>
      </x:c>
      <x:c r="F67" s="65" t="str">
        <x:f>IF('국가 데이터'!N63="","",'국가 데이터'!N63)</x:f>
      </x:c>
      <x:c r="G67" s="65" t="str">
        <x:f>IF('국가 데이터'!R63="","",'국가 데이터'!R63)</x:f>
      </x:c>
      <x:c r="H67" s="64" t="str">
        <x:v>국가 데이터 63행</x:v>
      </x:c>
    </x:row>
    <x:row r="68">
      <x:c r="A68" s="64" t="str">
        <x:f>IF('국가 데이터'!M24="","",'국가 데이터'!M24)</x:f>
        <x:v>P1</x:v>
      </x:c>
      <x:c r="B68" s="64" t="str">
        <x:f>IF('국가 데이터'!B24="","",'국가 데이터'!B24)</x:f>
        <x:v>수리남</x:v>
      </x:c>
      <x:c r="C68" s="64" t="str">
        <x:f>IF('국가 데이터'!F24="","",'국가 데이터'!F24)</x:f>
        <x:v>무사증+입국등록</x:v>
      </x:c>
      <x:c r="D68" s="64" t="str">
        <x:f>IF('국가 데이터'!G24="","",'국가 데이터'!G24)</x:f>
        <x:v>예</x:v>
      </x:c>
      <x:c r="E68" s="64" t="str">
        <x:f>IF('국가 데이터'!K24="","",'국가 데이터'!K24)</x:f>
        <x:v>보조자료 분류·공식 확인 필요</x:v>
      </x:c>
      <x:c r="F68" s="65" t="str">
        <x:f>IF('국가 데이터'!N24="","",'국가 데이터'!N24)</x:f>
      </x:c>
      <x:c r="G68" s="65" t="str">
        <x:f>IF('국가 데이터'!R24="","",'국가 데이터'!R24)</x:f>
        <x:v>관광카드/입국 등록 확인</x:v>
      </x:c>
      <x:c r="H68" s="64" t="str">
        <x:v>국가 데이터 24행</x:v>
      </x:c>
    </x:row>
    <x:row r="69">
      <x:c r="A69" s="64" t="str">
        <x:f>IF('국가 데이터'!M121="","",'국가 데이터'!M121)</x:f>
        <x:v>P1</x:v>
      </x:c>
      <x:c r="B69" s="64" t="str">
        <x:f>IF('국가 데이터'!B121="","",'국가 데이터'!B121)</x:f>
        <x:v>시에라리온</x:v>
      </x:c>
      <x:c r="C69" s="64" t="str">
        <x:f>IF('국가 데이터'!F121="","",'국가 데이터'!F121)</x:f>
        <x:v>전자비자/도착비자</x:v>
      </x:c>
      <x:c r="D69" s="64" t="str">
        <x:f>IF('국가 데이터'!G121="","",'국가 데이터'!G121)</x:f>
        <x:v>선택 가능</x:v>
      </x:c>
      <x:c r="E69" s="64" t="str">
        <x:f>IF('국가 데이터'!K121="","",'국가 데이터'!K121)</x:f>
        <x:v>보조자료 분류·공식 확인 필요</x:v>
      </x:c>
      <x:c r="F69" s="65" t="str">
        <x:f>IF('국가 데이터'!N121="","",'국가 데이터'!N121)</x:f>
      </x:c>
      <x:c r="G69" s="65" t="str">
        <x:f>IF('국가 데이터'!R121="","",'국가 데이터'!R121)</x:f>
      </x:c>
      <x:c r="H69" s="64" t="str">
        <x:v>국가 데이터 121행</x:v>
      </x:c>
    </x:row>
    <x:row r="70">
      <x:c r="A70" s="64" t="str">
        <x:f>IF('국가 데이터'!M65="","",'국가 데이터'!M65)</x:f>
        <x:v>P1</x:v>
      </x:c>
      <x:c r="B70" s="64" t="str">
        <x:f>IF('국가 데이터'!B65="","",'국가 데이터'!B65)</x:f>
        <x:v>싱가포르</x:v>
      </x:c>
      <x:c r="C70" s="64" t="str">
        <x:f>IF('국가 데이터'!F65="","",'국가 데이터'!F65)</x:f>
        <x:v>무사증+입국등록</x:v>
      </x:c>
      <x:c r="D70" s="64" t="str">
        <x:f>IF('국가 데이터'!G65="","",'국가 데이터'!G65)</x:f>
        <x:v>예</x:v>
      </x:c>
      <x:c r="E70" s="64" t="str">
        <x:f>IF('국가 데이터'!K65="","",'국가 데이터'!K65)</x:f>
        <x:v>보조자료 분류·공식 확인 필요</x:v>
      </x:c>
      <x:c r="F70" s="65" t="str">
        <x:f>IF('국가 데이터'!N65="","",'국가 데이터'!N65)</x:f>
      </x:c>
      <x:c r="G70" s="65" t="str">
        <x:f>IF('국가 데이터'!R65="","",'국가 데이터'!R65)</x:f>
        <x:v>도착 전 입국카드 등록</x:v>
      </x:c>
      <x:c r="H70" s="64" t="str">
        <x:v>국가 데이터 65행</x:v>
      </x:c>
    </x:row>
    <x:row r="71">
      <x:c r="A71" s="64" t="str">
        <x:f>IF('국가 데이터'!M127="","",'국가 데이터'!M127)</x:f>
        <x:v>P1</x:v>
      </x:c>
      <x:c r="B71" s="64" t="str">
        <x:f>IF('국가 데이터'!B127="","",'국가 데이터'!B127)</x:f>
        <x:v>에티오피아</x:v>
      </x:c>
      <x:c r="C71" s="64" t="str">
        <x:f>IF('국가 데이터'!F127="","",'국가 데이터'!F127)</x:f>
        <x:v>전자비자/도착비자</x:v>
      </x:c>
      <x:c r="D71" s="64" t="str">
        <x:f>IF('국가 데이터'!G127="","",'국가 데이터'!G127)</x:f>
        <x:v>선택 가능</x:v>
      </x:c>
      <x:c r="E71" s="64" t="str">
        <x:f>IF('국가 데이터'!K127="","",'국가 데이터'!K127)</x:f>
        <x:v>보조자료 분류·공식 확인 필요</x:v>
      </x:c>
      <x:c r="F71" s="65" t="str">
        <x:f>IF('국가 데이터'!N127="","",'국가 데이터'!N127)</x:f>
      </x:c>
      <x:c r="G71" s="65" t="str">
        <x:f>IF('국가 데이터'!R127="","",'국가 데이터'!R127)</x:f>
      </x:c>
      <x:c r="H71" s="64" t="str">
        <x:v>국가 데이터 127행</x:v>
      </x:c>
    </x:row>
    <x:row r="72">
      <x:c r="A72" s="64" t="str">
        <x:f>IF('국가 데이터'!M129="","",'국가 데이터'!M129)</x:f>
        <x:v>P1</x:v>
      </x:c>
      <x:c r="B72" s="64" t="str">
        <x:f>IF('국가 데이터'!B129="","",'국가 데이터'!B129)</x:f>
        <x:v>오만</x:v>
      </x:c>
      <x:c r="C72" s="64" t="str">
        <x:f>IF('국가 데이터'!F129="","",'국가 데이터'!F129)</x:f>
        <x:v>전자비자/도착비자</x:v>
      </x:c>
      <x:c r="D72" s="64" t="str">
        <x:f>IF('국가 데이터'!G129="","",'국가 데이터'!G129)</x:f>
        <x:v>선택 가능</x:v>
      </x:c>
      <x:c r="E72" s="64" t="str">
        <x:f>IF('국가 데이터'!K129="","",'국가 데이터'!K129)</x:f>
        <x:v>보조자료 분류·공식 확인 필요</x:v>
      </x:c>
      <x:c r="F72" s="65" t="str">
        <x:f>IF('국가 데이터'!N129="","",'국가 데이터'!N129)</x:f>
      </x:c>
      <x:c r="G72" s="65" t="str">
        <x:f>IF('국가 데이터'!R129="","",'국가 데이터'!R129)</x:f>
      </x:c>
      <x:c r="H72" s="64" t="str">
        <x:v>국가 데이터 129행</x:v>
      </x:c>
    </x:row>
    <x:row r="73">
      <x:c r="A73" s="64" t="str">
        <x:f>IF('국가 데이터'!M130="","",'국가 데이터'!M130)</x:f>
        <x:v>P1</x:v>
      </x:c>
      <x:c r="B73" s="64" t="str">
        <x:f>IF('국가 데이터'!B130="","",'국가 데이터'!B130)</x:f>
        <x:v>요르단</x:v>
      </x:c>
      <x:c r="C73" s="64" t="str">
        <x:f>IF('국가 데이터'!F130="","",'국가 데이터'!F130)</x:f>
        <x:v>전자비자/도착비자</x:v>
      </x:c>
      <x:c r="D73" s="64" t="str">
        <x:f>IF('국가 데이터'!G130="","",'국가 데이터'!G130)</x:f>
        <x:v>선택 가능</x:v>
      </x:c>
      <x:c r="E73" s="64" t="str">
        <x:f>IF('국가 데이터'!K130="","",'국가 데이터'!K130)</x:f>
        <x:v>보조자료 분류·공식 확인 필요</x:v>
      </x:c>
      <x:c r="F73" s="65" t="str">
        <x:f>IF('국가 데이터'!N130="","",'국가 데이터'!N130)</x:f>
      </x:c>
      <x:c r="G73" s="65" t="str">
        <x:f>IF('국가 데이터'!R130="","",'국가 데이터'!R130)</x:f>
      </x:c>
      <x:c r="H73" s="64" t="str">
        <x:v>국가 데이터 130행</x:v>
      </x:c>
    </x:row>
    <x:row r="74">
      <x:c r="A74" s="64" t="str">
        <x:f>IF('국가 데이터'!M136="","",'국가 데이터'!M136)</x:f>
        <x:v>P1</x:v>
      </x:c>
      <x:c r="B74" s="64" t="str">
        <x:f>IF('국가 데이터'!B136="","",'국가 데이터'!B136)</x:f>
        <x:v>이집트</x:v>
      </x:c>
      <x:c r="C74" s="64" t="str">
        <x:f>IF('국가 데이터'!F136="","",'국가 데이터'!F136)</x:f>
        <x:v>전자비자/도착비자</x:v>
      </x:c>
      <x:c r="D74" s="64" t="str">
        <x:f>IF('국가 데이터'!G136="","",'국가 데이터'!G136)</x:f>
        <x:v>선택 가능</x:v>
      </x:c>
      <x:c r="E74" s="64" t="str">
        <x:f>IF('국가 데이터'!K136="","",'국가 데이터'!K136)</x:f>
        <x:v>보조자료 분류·공식 확인 필요</x:v>
      </x:c>
      <x:c r="F74" s="65" t="str">
        <x:f>IF('국가 데이터'!N136="","",'국가 데이터'!N136)</x:f>
      </x:c>
      <x:c r="G74" s="65" t="str">
        <x:f>IF('국가 데이터'!R136="","",'국가 데이터'!R136)</x:f>
        <x:v>시나이 지역 예외 조건 별도 확인</x:v>
      </x:c>
      <x:c r="H74" s="64" t="str">
        <x:v>국가 데이터 136행</x:v>
      </x:c>
    </x:row>
    <x:row r="75">
      <x:c r="A75" s="64" t="str">
        <x:f>IF('국가 데이터'!M67="","",'국가 데이터'!M67)</x:f>
        <x:v>P1</x:v>
      </x:c>
      <x:c r="B75" s="64" t="str">
        <x:f>IF('국가 데이터'!B67="","",'국가 데이터'!B67)</x:f>
        <x:v>인도</x:v>
      </x:c>
      <x:c r="C75" s="64" t="str">
        <x:f>IF('국가 데이터'!F67="","",'국가 데이터'!F67)</x:f>
        <x:v>전자비자/도착비자</x:v>
      </x:c>
      <x:c r="D75" s="64" t="str">
        <x:f>IF('국가 데이터'!G67="","",'국가 데이터'!G67)</x:f>
        <x:v>선택 가능</x:v>
      </x:c>
      <x:c r="E75" s="64" t="str">
        <x:f>IF('국가 데이터'!K67="","",'국가 데이터'!K67)</x:f>
        <x:v>보조자료 분류·공식 확인 필요</x:v>
      </x:c>
      <x:c r="F75" s="65" t="str">
        <x:f>IF('국가 데이터'!N67="","",'국가 데이터'!N67)</x:f>
      </x:c>
      <x:c r="G75" s="65" t="str">
        <x:f>IF('국가 데이터'!R67="","",'국가 데이터'!R67)</x:f>
        <x:v>도착비자 대상 조건 공식 확인 필요</x:v>
      </x:c>
      <x:c r="H75" s="64" t="str">
        <x:v>국가 데이터 67행</x:v>
      </x:c>
    </x:row>
    <x:row r="76">
      <x:c r="A76" s="64" t="str">
        <x:f>IF('국가 데이터'!M68="","",'국가 데이터'!M68)</x:f>
        <x:v>P1</x:v>
      </x:c>
      <x:c r="B76" s="64" t="str">
        <x:f>IF('국가 데이터'!B68="","",'국가 데이터'!B68)</x:f>
        <x:v>인도네시아</x:v>
      </x:c>
      <x:c r="C76" s="64" t="str">
        <x:f>IF('국가 데이터'!F68="","",'국가 데이터'!F68)</x:f>
        <x:v>전자비자/도착비자</x:v>
      </x:c>
      <x:c r="D76" s="64" t="str">
        <x:f>IF('국가 데이터'!G68="","",'국가 데이터'!G68)</x:f>
        <x:v>선택 가능</x:v>
      </x:c>
      <x:c r="E76" s="64" t="str">
        <x:f>IF('국가 데이터'!K68="","",'국가 데이터'!K68)</x:f>
        <x:v>보조자료 분류·공식 확인 필요</x:v>
      </x:c>
      <x:c r="F76" s="65" t="str">
        <x:f>IF('국가 데이터'!N68="","",'국가 데이터'!N68)</x:f>
      </x:c>
      <x:c r="G76" s="65" t="str">
        <x:f>IF('국가 데이터'!R68="","",'국가 데이터'!R68)</x:f>
      </x:c>
      <x:c r="H76" s="64" t="str">
        <x:v>국가 데이터 68행</x:v>
      </x:c>
    </x:row>
    <x:row r="77">
      <x:c r="A77" s="64" t="str">
        <x:f>IF('국가 데이터'!M140="","",'국가 데이터'!M140)</x:f>
        <x:v>P1</x:v>
      </x:c>
      <x:c r="B77" s="64" t="str">
        <x:f>IF('국가 데이터'!B140="","",'국가 데이터'!B140)</x:f>
        <x:v>지부티</x:v>
      </x:c>
      <x:c r="C77" s="64" t="str">
        <x:f>IF('국가 데이터'!F140="","",'국가 데이터'!F140)</x:f>
        <x:v>전자비자/도착비자</x:v>
      </x:c>
      <x:c r="D77" s="64" t="str">
        <x:f>IF('국가 데이터'!G140="","",'국가 데이터'!G140)</x:f>
        <x:v>선택 가능</x:v>
      </x:c>
      <x:c r="E77" s="64" t="str">
        <x:f>IF('국가 데이터'!K140="","",'국가 데이터'!K140)</x:f>
        <x:v>보조자료 분류·공식 확인 필요</x:v>
      </x:c>
      <x:c r="F77" s="65" t="str">
        <x:f>IF('국가 데이터'!N140="","",'국가 데이터'!N140)</x:f>
      </x:c>
      <x:c r="G77" s="65" t="str">
        <x:f>IF('국가 데이터'!R140="","",'국가 데이터'!R140)</x:f>
      </x:c>
      <x:c r="H77" s="64" t="str">
        <x:v>국가 데이터 140행</x:v>
      </x:c>
    </x:row>
    <x:row r="78">
      <x:c r="A78" s="64" t="str">
        <x:f>IF('국가 데이터'!M141="","",'국가 데이터'!M141)</x:f>
        <x:v>P1</x:v>
      </x:c>
      <x:c r="B78" s="64" t="str">
        <x:f>IF('국가 데이터'!B141="","",'국가 데이터'!B141)</x:f>
        <x:v>짐바브웨</x:v>
      </x:c>
      <x:c r="C78" s="64" t="str">
        <x:f>IF('국가 데이터'!F141="","",'국가 데이터'!F141)</x:f>
        <x:v>전자비자/도착비자</x:v>
      </x:c>
      <x:c r="D78" s="64" t="str">
        <x:f>IF('국가 데이터'!G141="","",'국가 데이터'!G141)</x:f>
        <x:v>선택 가능</x:v>
      </x:c>
      <x:c r="E78" s="64" t="str">
        <x:f>IF('국가 데이터'!K141="","",'국가 데이터'!K141)</x:f>
        <x:v>보조자료 분류·공식 확인 필요</x:v>
      </x:c>
      <x:c r="F78" s="65" t="str">
        <x:f>IF('국가 데이터'!N141="","",'국가 데이터'!N141)</x:f>
      </x:c>
      <x:c r="G78" s="65" t="str">
        <x:f>IF('국가 데이터'!R141="","",'국가 데이터'!R141)</x:f>
      </x:c>
      <x:c r="H78" s="64" t="str">
        <x:v>국가 데이터 141행</x:v>
      </x:c>
    </x:row>
    <x:row r="79">
      <x:c r="A79" s="64" t="str">
        <x:f>IF('국가 데이터'!M144="","",'국가 데이터'!M144)</x:f>
        <x:v>P1</x:v>
      </x:c>
      <x:c r="B79" s="64" t="str">
        <x:f>IF('국가 데이터'!B144="","",'국가 데이터'!B144)</x:f>
        <x:v>카보베르데</x:v>
      </x:c>
      <x:c r="C79" s="64" t="str">
        <x:f>IF('국가 데이터'!F144="","",'국가 데이터'!F144)</x:f>
        <x:v>도착비자</x:v>
      </x:c>
      <x:c r="D79" s="64" t="str">
        <x:f>IF('국가 데이터'!G144="","",'국가 데이터'!G144)</x:f>
        <x:v>아니오</x:v>
      </x:c>
      <x:c r="E79" s="64" t="str">
        <x:f>IF('국가 데이터'!K144="","",'국가 데이터'!K144)</x:f>
        <x:v>보조자료 분류·공식 확인 필요</x:v>
      </x:c>
      <x:c r="F79" s="65" t="str">
        <x:f>IF('국가 데이터'!N144="","",'국가 데이터'!N144)</x:f>
      </x:c>
      <x:c r="G79" s="65" t="str">
        <x:f>IF('국가 데이터'!R144="","",'국가 데이터'!R144)</x:f>
        <x:v>EASE 사전등록 가능 여부 확인</x:v>
      </x:c>
      <x:c r="H79" s="64" t="str">
        <x:v>국가 데이터 144행</x:v>
      </x:c>
    </x:row>
    <x:row r="80">
      <x:c r="A80" s="64" t="str">
        <x:f>IF('국가 데이터'!M145="","",'국가 데이터'!M145)</x:f>
        <x:v>P1</x:v>
      </x:c>
      <x:c r="B80" s="64" t="str">
        <x:f>IF('국가 데이터'!B145="","",'국가 데이터'!B145)</x:f>
        <x:v>카타르</x:v>
      </x:c>
      <x:c r="C80" s="64" t="str">
        <x:f>IF('국가 데이터'!F145="","",'국가 데이터'!F145)</x:f>
        <x:v>전자비자/도착비자</x:v>
      </x:c>
      <x:c r="D80" s="64" t="str">
        <x:f>IF('국가 데이터'!G145="","",'국가 데이터'!G145)</x:f>
        <x:v>선택 가능</x:v>
      </x:c>
      <x:c r="E80" s="64" t="str">
        <x:f>IF('국가 데이터'!K145="","",'국가 데이터'!K145)</x:f>
        <x:v>보조자료 분류·공식 확인 필요</x:v>
      </x:c>
      <x:c r="F80" s="65" t="str">
        <x:f>IF('국가 데이터'!N145="","",'국가 데이터'!N145)</x:f>
      </x:c>
      <x:c r="G80" s="65" t="str">
        <x:f>IF('국가 데이터'!R145="","",'국가 데이터'!R145)</x:f>
      </x:c>
      <x:c r="H80" s="64" t="str">
        <x:v>국가 데이터 145행</x:v>
      </x:c>
    </x:row>
    <x:row r="81">
      <x:c r="A81" s="64" t="str">
        <x:f>IF('국가 데이터'!M72="","",'국가 데이터'!M72)</x:f>
        <x:v>P1</x:v>
      </x:c>
      <x:c r="B81" s="64" t="str">
        <x:f>IF('국가 데이터'!B72="","",'국가 데이터'!B72)</x:f>
        <x:v>캄보디아</x:v>
      </x:c>
      <x:c r="C81" s="64" t="str">
        <x:f>IF('국가 데이터'!F72="","",'국가 데이터'!F72)</x:f>
        <x:v>전자비자/도착비자</x:v>
      </x:c>
      <x:c r="D81" s="64" t="str">
        <x:f>IF('국가 데이터'!G72="","",'국가 데이터'!G72)</x:f>
        <x:v>선택 가능</x:v>
      </x:c>
      <x:c r="E81" s="64" t="str">
        <x:f>IF('국가 데이터'!K72="","",'국가 데이터'!K72)</x:f>
        <x:v>보조자료 분류·공식 확인 필요</x:v>
      </x:c>
      <x:c r="F81" s="65" t="str">
        <x:f>IF('국가 데이터'!N72="","",'국가 데이터'!N72)</x:f>
      </x:c>
      <x:c r="G81" s="65" t="str">
        <x:f>IF('국가 데이터'!R72="","",'국가 데이터'!R72)</x:f>
        <x:v>일부 지역 여권 사용 제한 확인</x:v>
      </x:c>
      <x:c r="H81" s="64" t="str">
        <x:v>국가 데이터 72행</x:v>
      </x:c>
    </x:row>
    <x:row r="82">
      <x:c r="A82" s="64" t="str">
        <x:f>IF('국가 데이터'!M147="","",'국가 데이터'!M147)</x:f>
        <x:v>P1</x:v>
      </x:c>
      <x:c r="B82" s="64" t="str">
        <x:f>IF('국가 데이터'!B147="","",'국가 데이터'!B147)</x:f>
        <x:v>코모로</x:v>
      </x:c>
      <x:c r="C82" s="64" t="str">
        <x:f>IF('국가 데이터'!F147="","",'국가 데이터'!F147)</x:f>
        <x:v>도착비자</x:v>
      </x:c>
      <x:c r="D82" s="64" t="str">
        <x:f>IF('국가 데이터'!G147="","",'국가 데이터'!G147)</x:f>
        <x:v>아니오</x:v>
      </x:c>
      <x:c r="E82" s="64" t="str">
        <x:f>IF('국가 데이터'!K147="","",'국가 데이터'!K147)</x:f>
        <x:v>보조자료 분류·공식 확인 필요</x:v>
      </x:c>
      <x:c r="F82" s="65" t="str">
        <x:f>IF('국가 데이터'!N147="","",'국가 데이터'!N147)</x:f>
      </x:c>
      <x:c r="G82" s="65" t="str">
        <x:f>IF('국가 데이터'!R147="","",'국가 데이터'!R147)</x:f>
      </x:c>
      <x:c r="H82" s="64" t="str">
        <x:v>국가 데이터 147행</x:v>
      </x:c>
    </x:row>
    <x:row r="83">
      <x:c r="A83" s="64" t="str">
        <x:f>IF('국가 데이터'!M151="","",'국가 데이터'!M151)</x:f>
        <x:v>P1</x:v>
      </x:c>
      <x:c r="B83" s="64" t="str">
        <x:f>IF('국가 데이터'!B151="","",'국가 데이터'!B151)</x:f>
        <x:v>쿠웨이트</x:v>
      </x:c>
      <x:c r="C83" s="64" t="str">
        <x:f>IF('국가 데이터'!F151="","",'국가 데이터'!F151)</x:f>
        <x:v>전자비자/도착비자</x:v>
      </x:c>
      <x:c r="D83" s="64" t="str">
        <x:f>IF('국가 데이터'!G151="","",'국가 데이터'!G151)</x:f>
        <x:v>선택 가능</x:v>
      </x:c>
      <x:c r="E83" s="64" t="str">
        <x:f>IF('국가 데이터'!K151="","",'국가 데이터'!K151)</x:f>
        <x:v>보조자료 분류·공식 확인 필요</x:v>
      </x:c>
      <x:c r="F83" s="65" t="str">
        <x:f>IF('국가 데이터'!N151="","",'국가 데이터'!N151)</x:f>
      </x:c>
      <x:c r="G83" s="65" t="str">
        <x:f>IF('국가 데이터'!R151="","",'국가 데이터'!R151)</x:f>
      </x:c>
      <x:c r="H83" s="64" t="str">
        <x:v>국가 데이터 151행</x:v>
      </x:c>
    </x:row>
    <x:row r="84">
      <x:c r="A84" s="64" t="str">
        <x:f>IF('국가 데이터'!M152="","",'국가 데이터'!M152)</x:f>
        <x:v>P1</x:v>
      </x:c>
      <x:c r="B84" s="64" t="str">
        <x:f>IF('국가 데이터'!B152="","",'국가 데이터'!B152)</x:f>
        <x:v>탄자니아</x:v>
      </x:c>
      <x:c r="C84" s="64" t="str">
        <x:f>IF('국가 데이터'!F152="","",'국가 데이터'!F152)</x:f>
        <x:v>전자비자/도착비자</x:v>
      </x:c>
      <x:c r="D84" s="64" t="str">
        <x:f>IF('국가 데이터'!G152="","",'국가 데이터'!G152)</x:f>
        <x:v>선택 가능</x:v>
      </x:c>
      <x:c r="E84" s="64" t="str">
        <x:f>IF('국가 데이터'!K152="","",'국가 데이터'!K152)</x:f>
        <x:v>보조자료 분류·공식 확인 필요</x:v>
      </x:c>
      <x:c r="F84" s="65" t="str">
        <x:f>IF('국가 데이터'!N152="","",'국가 데이터'!N152)</x:f>
      </x:c>
      <x:c r="G84" s="65" t="str">
        <x:f>IF('국가 데이터'!R152="","",'국가 데이터'!R152)</x:f>
      </x:c>
      <x:c r="H84" s="64" t="str">
        <x:v>국가 데이터 152행</x:v>
      </x:c>
    </x:row>
    <x:row r="85">
      <x:c r="A85" s="64" t="str">
        <x:f>IF('국가 데이터'!M77="","",'국가 데이터'!M77)</x:f>
        <x:v>P1</x:v>
      </x:c>
      <x:c r="B85" s="64" t="str">
        <x:f>IF('국가 데이터'!B77="","",'국가 데이터'!B77)</x:f>
        <x:v>태국</x:v>
      </x:c>
      <x:c r="C85" s="64" t="str">
        <x:f>IF('국가 데이터'!F77="","",'국가 데이터'!F77)</x:f>
        <x:v>무사증+입국등록</x:v>
      </x:c>
      <x:c r="D85" s="64" t="str">
        <x:f>IF('국가 데이터'!G77="","",'국가 데이터'!G77)</x:f>
        <x:v>예</x:v>
      </x:c>
      <x:c r="E85" s="64" t="str">
        <x:f>IF('국가 데이터'!K77="","",'국가 데이터'!K77)</x:f>
        <x:v>보조자료 분류·공식 확인 필요</x:v>
      </x:c>
      <x:c r="F85" s="65" t="str">
        <x:f>IF('국가 데이터'!N77="","",'국가 데이터'!N77)</x:f>
      </x:c>
      <x:c r="G85" s="65" t="str">
        <x:f>IF('국가 데이터'!R77="","",'국가 데이터'!R77)</x:f>
        <x:v>도착 전 디지털 입국카드 등록</x:v>
      </x:c>
      <x:c r="H85" s="64" t="str">
        <x:v>국가 데이터 77행</x:v>
      </x:c>
    </x:row>
    <x:row r="86">
      <x:c r="A86" s="64" t="str">
        <x:f>IF('국가 데이터'!M5="","",'국가 데이터'!M5)</x:f>
        <x:v>P2</x:v>
      </x:c>
      <x:c r="B86" s="64" t="str">
        <x:f>IF('국가 데이터'!B5="","",'국가 데이터'!B5)</x:f>
        <x:v>가이아나</x:v>
      </x:c>
      <x:c r="C86" s="64" t="str">
        <x:f>IF('국가 데이터'!F5="","",'국가 데이터'!F5)</x:f>
        <x:v>무사증</x:v>
      </x:c>
      <x:c r="D86" s="64" t="str">
        <x:f>IF('국가 데이터'!G5="","",'국가 데이터'!G5)</x:f>
        <x:v>아니오</x:v>
      </x:c>
      <x:c r="E86" s="64" t="str">
        <x:f>IF('국가 데이터'!K5="","",'국가 데이터'!K5)</x:f>
        <x:v>외교부 기준·갱신 확인 필요</x:v>
      </x:c>
      <x:c r="F86" s="65" t="str">
        <x:f>IF('국가 데이터'!N5="","",'국가 데이터'!N5)</x:f>
      </x:c>
      <x:c r="G86" s="65" t="str">
        <x:f>IF('국가 데이터'!R5="","",'국가 데이터'!R5)</x:f>
      </x:c>
      <x:c r="H86" s="64" t="str">
        <x:v>국가 데이터 5행</x:v>
      </x:c>
    </x:row>
    <x:row r="87">
      <x:c r="A87" s="64" t="str">
        <x:f>IF('국가 데이터'!M6="","",'국가 데이터'!M6)</x:f>
        <x:v>P2</x:v>
      </x:c>
      <x:c r="B87" s="64" t="str">
        <x:f>IF('국가 데이터'!B6="","",'국가 데이터'!B6)</x:f>
        <x:v>과테말라</x:v>
      </x:c>
      <x:c r="C87" s="64" t="str">
        <x:f>IF('국가 데이터'!F6="","",'국가 데이터'!F6)</x:f>
        <x:v>무사증</x:v>
      </x:c>
      <x:c r="D87" s="64" t="str">
        <x:f>IF('국가 데이터'!G6="","",'국가 데이터'!G6)</x:f>
        <x:v>아니오</x:v>
      </x:c>
      <x:c r="E87" s="64" t="str">
        <x:f>IF('국가 데이터'!K6="","",'국가 데이터'!K6)</x:f>
        <x:v>외교부 기준·갱신 확인 필요</x:v>
      </x:c>
      <x:c r="F87" s="65" t="str">
        <x:f>IF('국가 데이터'!N6="","",'국가 데이터'!N6)</x:f>
      </x:c>
      <x:c r="G87" s="65" t="str">
        <x:f>IF('국가 데이터'!R6="","",'국가 데이터'!R6)</x:f>
      </x:c>
      <x:c r="H87" s="64" t="str">
        <x:v>국가 데이터 6행</x:v>
      </x:c>
    </x:row>
    <x:row r="88">
      <x:c r="A88" s="64" t="str">
        <x:f>IF('국가 데이터'!M7="","",'국가 데이터'!M7)</x:f>
        <x:v>P2</x:v>
      </x:c>
      <x:c r="B88" s="64" t="str">
        <x:f>IF('국가 데이터'!B7="","",'국가 데이터'!B7)</x:f>
        <x:v>괌</x:v>
      </x:c>
      <x:c r="C88" s="64" t="str">
        <x:f>IF('국가 데이터'!F7="","",'국가 데이터'!F7)</x:f>
        <x:v>무사증</x:v>
      </x:c>
      <x:c r="D88" s="64" t="str">
        <x:f>IF('국가 데이터'!G7="","",'국가 데이터'!G7)</x:f>
        <x:v>아니오</x:v>
      </x:c>
      <x:c r="E88" s="64" t="str">
        <x:f>IF('국가 데이터'!K7="","",'국가 데이터'!K7)</x:f>
        <x:v>외교부 기준·갱신 확인 필요</x:v>
      </x:c>
      <x:c r="F88" s="65" t="str">
        <x:f>IF('국가 데이터'!N7="","",'국가 데이터'!N7)</x:f>
      </x:c>
      <x:c r="G88" s="65" t="str">
        <x:f>IF('국가 데이터'!R7="","",'국가 데이터'!R7)</x:f>
      </x:c>
      <x:c r="H88" s="64" t="str">
        <x:v>국가 데이터 7행</x:v>
      </x:c>
    </x:row>
    <x:row r="89">
      <x:c r="A89" s="64" t="str">
        <x:f>IF('국가 데이터'!M8="","",'국가 데이터'!M8)</x:f>
        <x:v>P2</x:v>
      </x:c>
      <x:c r="B89" s="64" t="str">
        <x:f>IF('국가 데이터'!B8="","",'국가 데이터'!B8)</x:f>
        <x:v>그레나다</x:v>
      </x:c>
      <x:c r="C89" s="64" t="str">
        <x:f>IF('국가 데이터'!F8="","",'국가 데이터'!F8)</x:f>
        <x:v>무사증</x:v>
      </x:c>
      <x:c r="D89" s="64" t="str">
        <x:f>IF('국가 데이터'!G8="","",'국가 데이터'!G8)</x:f>
        <x:v>아니오</x:v>
      </x:c>
      <x:c r="E89" s="64" t="str">
        <x:f>IF('국가 데이터'!K8="","",'국가 데이터'!K8)</x:f>
        <x:v>외교부 기준·갱신 확인 필요</x:v>
      </x:c>
      <x:c r="F89" s="65" t="str">
        <x:f>IF('국가 데이터'!N8="","",'국가 데이터'!N8)</x:f>
      </x:c>
      <x:c r="G89" s="65" t="str">
        <x:f>IF('국가 데이터'!R8="","",'국가 데이터'!R8)</x:f>
      </x:c>
      <x:c r="H89" s="64" t="str">
        <x:v>국가 데이터 8행</x:v>
      </x:c>
    </x:row>
    <x:row r="90">
      <x:c r="A90" s="64" t="str">
        <x:f>IF('국가 데이터'!M155="","",'국가 데이터'!M155)</x:f>
        <x:v>P2</x:v>
      </x:c>
      <x:c r="B90" s="64" t="str">
        <x:f>IF('국가 데이터'!B155="","",'국가 데이터'!B155)</x:f>
        <x:v>그리스</x:v>
      </x:c>
      <x:c r="C90" s="64" t="str">
        <x:f>IF('국가 데이터'!F155="","",'국가 데이터'!F155)</x:f>
        <x:v>무사증</x:v>
      </x:c>
      <x:c r="D90" s="64" t="str">
        <x:f>IF('국가 데이터'!G155="","",'국가 데이터'!G155)</x:f>
        <x:v>아니오</x:v>
      </x:c>
      <x:c r="E90" s="64" t="str">
        <x:f>IF('국가 데이터'!K155="","",'국가 데이터'!K155)</x:f>
        <x:v>외교부 기준·갱신 확인 필요</x:v>
      </x:c>
      <x:c r="F90" s="65" t="str">
        <x:f>IF('국가 데이터'!N155="","",'국가 데이터'!N155)</x:f>
      </x:c>
      <x:c r="G90" s="65" t="str">
        <x:f>IF('국가 데이터'!R155="","",'국가 데이터'!R155)</x:f>
      </x:c>
      <x:c r="H90" s="64" t="str">
        <x:v>국가 데이터 155행</x:v>
      </x:c>
    </x:row>
    <x:row r="91">
      <x:c r="A91" s="64" t="str">
        <x:f>IF('국가 데이터'!M96="","",'국가 데이터'!M96)</x:f>
        <x:v>P2</x:v>
      </x:c>
      <x:c r="B91" s="64" t="str">
        <x:f>IF('국가 데이터'!B96="","",'국가 데이터'!B96)</x:f>
        <x:v>남아프리카 공화국</x:v>
      </x:c>
      <x:c r="C91" s="64" t="str">
        <x:f>IF('국가 데이터'!F96="","",'국가 데이터'!F96)</x:f>
        <x:v>무사증</x:v>
      </x:c>
      <x:c r="D91" s="64" t="str">
        <x:f>IF('국가 데이터'!G96="","",'국가 데이터'!G96)</x:f>
        <x:v>아니오</x:v>
      </x:c>
      <x:c r="E91" s="64" t="str">
        <x:f>IF('국가 데이터'!K96="","",'국가 데이터'!K96)</x:f>
        <x:v>외교부 기준·갱신 확인 필요</x:v>
      </x:c>
      <x:c r="F91" s="65" t="str">
        <x:f>IF('국가 데이터'!N96="","",'국가 데이터'!N96)</x:f>
      </x:c>
      <x:c r="G91" s="65" t="str">
        <x:f>IF('국가 데이터'!R96="","",'국가 데이터'!R96)</x:f>
      </x:c>
      <x:c r="H91" s="64" t="str">
        <x:v>국가 데이터 96행</x:v>
      </x:c>
    </x:row>
    <x:row r="92">
      <x:c r="A92" s="64" t="str">
        <x:f>IF('국가 데이터'!M156="","",'국가 데이터'!M156)</x:f>
        <x:v>P2</x:v>
      </x:c>
      <x:c r="B92" s="64" t="str">
        <x:f>IF('국가 데이터'!B156="","",'국가 데이터'!B156)</x:f>
        <x:v>네덜란드</x:v>
      </x:c>
      <x:c r="C92" s="64" t="str">
        <x:f>IF('국가 데이터'!F156="","",'국가 데이터'!F156)</x:f>
        <x:v>무사증</x:v>
      </x:c>
      <x:c r="D92" s="64" t="str">
        <x:f>IF('국가 데이터'!G156="","",'국가 데이터'!G156)</x:f>
        <x:v>아니오</x:v>
      </x:c>
      <x:c r="E92" s="64" t="str">
        <x:f>IF('국가 데이터'!K156="","",'국가 데이터'!K156)</x:f>
        <x:v>외교부 기준·갱신 확인 필요</x:v>
      </x:c>
      <x:c r="F92" s="65" t="str">
        <x:f>IF('국가 데이터'!N156="","",'국가 데이터'!N156)</x:f>
      </x:c>
      <x:c r="G92" s="65" t="str">
        <x:f>IF('국가 데이터'!R156="","",'국가 데이터'!R156)</x:f>
      </x:c>
      <x:c r="H92" s="64" t="str">
        <x:v>국가 데이터 156행</x:v>
      </x:c>
    </x:row>
    <x:row r="93">
      <x:c r="A93" s="64" t="str">
        <x:f>IF('국가 데이터'!M157="","",'국가 데이터'!M157)</x:f>
        <x:v>P2</x:v>
      </x:c>
      <x:c r="B93" s="64" t="str">
        <x:f>IF('국가 데이터'!B157="","",'국가 데이터'!B157)</x:f>
        <x:v>노르웨이</x:v>
      </x:c>
      <x:c r="C93" s="64" t="str">
        <x:f>IF('국가 데이터'!F157="","",'국가 데이터'!F157)</x:f>
        <x:v>무사증</x:v>
      </x:c>
      <x:c r="D93" s="64" t="str">
        <x:f>IF('국가 데이터'!G157="","",'국가 데이터'!G157)</x:f>
        <x:v>아니오</x:v>
      </x:c>
      <x:c r="E93" s="64" t="str">
        <x:f>IF('국가 데이터'!K157="","",'국가 데이터'!K157)</x:f>
        <x:v>외교부 기준·갱신 확인 필요</x:v>
      </x:c>
      <x:c r="F93" s="65" t="str">
        <x:f>IF('국가 데이터'!N157="","",'국가 데이터'!N157)</x:f>
      </x:c>
      <x:c r="G93" s="65" t="str">
        <x:f>IF('국가 데이터'!R157="","",'국가 데이터'!R157)</x:f>
      </x:c>
      <x:c r="H93" s="64" t="str">
        <x:v>국가 데이터 157행</x:v>
      </x:c>
    </x:row>
    <x:row r="94">
      <x:c r="A94" s="64" t="str">
        <x:f>IF('국가 데이터'!M45="","",'국가 데이터'!M45)</x:f>
        <x:v>P2</x:v>
      </x:c>
      <x:c r="B94" s="64" t="str">
        <x:f>IF('국가 데이터'!B45="","",'국가 데이터'!B45)</x:f>
        <x:v>니우에</x:v>
      </x:c>
      <x:c r="C94" s="64" t="str">
        <x:f>IF('국가 데이터'!F45="","",'국가 데이터'!F45)</x:f>
        <x:v>무사증</x:v>
      </x:c>
      <x:c r="D94" s="64" t="str">
        <x:f>IF('국가 데이터'!G45="","",'국가 데이터'!G45)</x:f>
        <x:v>아니오</x:v>
      </x:c>
      <x:c r="E94" s="64" t="str">
        <x:f>IF('국가 데이터'!K45="","",'국가 데이터'!K45)</x:f>
        <x:v>외교부 기준·갱신 확인 필요</x:v>
      </x:c>
      <x:c r="F94" s="65" t="str">
        <x:f>IF('국가 데이터'!N45="","",'국가 데이터'!N45)</x:f>
      </x:c>
      <x:c r="G94" s="65" t="str">
        <x:f>IF('국가 데이터'!R45="","",'국가 데이터'!R45)</x:f>
      </x:c>
      <x:c r="H94" s="64" t="str">
        <x:v>국가 데이터 45행</x:v>
      </x:c>
    </x:row>
    <x:row r="95">
      <x:c r="A95" s="64" t="str">
        <x:f>IF('국가 데이터'!M9="","",'국가 데이터'!M9)</x:f>
        <x:v>P2</x:v>
      </x:c>
      <x:c r="B95" s="64" t="str">
        <x:f>IF('국가 데이터'!B9="","",'국가 데이터'!B9)</x:f>
        <x:v>니카라과</x:v>
      </x:c>
      <x:c r="C95" s="64" t="str">
        <x:f>IF('국가 데이터'!F9="","",'국가 데이터'!F9)</x:f>
        <x:v>무사증</x:v>
      </x:c>
      <x:c r="D95" s="64" t="str">
        <x:f>IF('국가 데이터'!G9="","",'국가 데이터'!G9)</x:f>
        <x:v>아니오</x:v>
      </x:c>
      <x:c r="E95" s="64" t="str">
        <x:f>IF('국가 데이터'!K9="","",'국가 데이터'!K9)</x:f>
        <x:v>외교부 기준·갱신 확인 필요</x:v>
      </x:c>
      <x:c r="F95" s="65" t="str">
        <x:f>IF('국가 데이터'!N9="","",'국가 데이터'!N9)</x:f>
      </x:c>
      <x:c r="G95" s="65" t="str">
        <x:f>IF('국가 데이터'!R9="","",'국가 데이터'!R9)</x:f>
      </x:c>
      <x:c r="H95" s="64" t="str">
        <x:v>국가 데이터 9행</x:v>
      </x:c>
    </x:row>
    <x:row r="96">
      <x:c r="A96" s="64" t="str">
        <x:f>IF('국가 데이터'!M46="","",'국가 데이터'!M46)</x:f>
        <x:v>P2</x:v>
      </x:c>
      <x:c r="B96" s="64" t="str">
        <x:f>IF('국가 데이터'!B46="","",'국가 데이터'!B46)</x:f>
        <x:v>대만</x:v>
      </x:c>
      <x:c r="C96" s="64" t="str">
        <x:f>IF('국가 데이터'!F46="","",'국가 데이터'!F46)</x:f>
        <x:v>무사증</x:v>
      </x:c>
      <x:c r="D96" s="64" t="str">
        <x:f>IF('국가 데이터'!G46="","",'국가 데이터'!G46)</x:f>
        <x:v>아니오</x:v>
      </x:c>
      <x:c r="E96" s="64" t="str">
        <x:f>IF('국가 데이터'!K46="","",'국가 데이터'!K46)</x:f>
        <x:v>외교부 기준·갱신 확인 필요</x:v>
      </x:c>
      <x:c r="F96" s="65" t="str">
        <x:f>IF('국가 데이터'!N46="","",'국가 데이터'!N46)</x:f>
      </x:c>
      <x:c r="G96" s="65" t="str">
        <x:f>IF('국가 데이터'!R46="","",'국가 데이터'!R46)</x:f>
      </x:c>
      <x:c r="H96" s="64" t="str">
        <x:v>국가 데이터 46행</x:v>
      </x:c>
    </x:row>
    <x:row r="97">
      <x:c r="A97" s="64" t="str">
        <x:f>IF('국가 데이터'!M158="","",'국가 데이터'!M158)</x:f>
        <x:v>P2</x:v>
      </x:c>
      <x:c r="B97" s="64" t="str">
        <x:f>IF('국가 데이터'!B158="","",'국가 데이터'!B158)</x:f>
        <x:v>덴마크</x:v>
      </x:c>
      <x:c r="C97" s="64" t="str">
        <x:f>IF('국가 데이터'!F158="","",'국가 데이터'!F158)</x:f>
        <x:v>무사증</x:v>
      </x:c>
      <x:c r="D97" s="64" t="str">
        <x:f>IF('국가 데이터'!G158="","",'국가 데이터'!G158)</x:f>
        <x:v>아니오</x:v>
      </x:c>
      <x:c r="E97" s="64" t="str">
        <x:f>IF('국가 데이터'!K158="","",'국가 데이터'!K158)</x:f>
        <x:v>외교부 기준·갱신 확인 필요</x:v>
      </x:c>
      <x:c r="F97" s="65" t="str">
        <x:f>IF('국가 데이터'!N158="","",'국가 데이터'!N158)</x:f>
      </x:c>
      <x:c r="G97" s="65" t="str">
        <x:f>IF('국가 데이터'!R158="","",'국가 데이터'!R158)</x:f>
      </x:c>
      <x:c r="H97" s="64" t="str">
        <x:v>국가 데이터 158행</x:v>
      </x:c>
    </x:row>
    <x:row r="98">
      <x:c r="A98" s="64" t="str">
        <x:f>IF('국가 데이터'!M11="","",'국가 데이터'!M11)</x:f>
        <x:v>P2</x:v>
      </x:c>
      <x:c r="B98" s="64" t="str">
        <x:f>IF('국가 데이터'!B11="","",'국가 데이터'!B11)</x:f>
        <x:v>도미니카연방</x:v>
      </x:c>
      <x:c r="C98" s="64" t="str">
        <x:f>IF('국가 데이터'!F11="","",'국가 데이터'!F11)</x:f>
        <x:v>무사증</x:v>
      </x:c>
      <x:c r="D98" s="64" t="str">
        <x:f>IF('국가 데이터'!G11="","",'국가 데이터'!G11)</x:f>
        <x:v>아니오</x:v>
      </x:c>
      <x:c r="E98" s="64" t="str">
        <x:f>IF('국가 데이터'!K11="","",'국가 데이터'!K11)</x:f>
        <x:v>외교부 기준·갱신 확인 필요</x:v>
      </x:c>
      <x:c r="F98" s="65" t="str">
        <x:f>IF('국가 데이터'!N11="","",'국가 데이터'!N11)</x:f>
      </x:c>
      <x:c r="G98" s="65" t="str">
        <x:f>IF('국가 데이터'!R11="","",'국가 데이터'!R11)</x:f>
      </x:c>
      <x:c r="H98" s="64" t="str">
        <x:v>국가 데이터 11행</x:v>
      </x:c>
    </x:row>
    <x:row r="99">
      <x:c r="A99" s="64" t="str">
        <x:f>IF('국가 데이터'!M159="","",'국가 데이터'!M159)</x:f>
        <x:v>P2</x:v>
      </x:c>
      <x:c r="B99" s="64" t="str">
        <x:f>IF('국가 데이터'!B159="","",'국가 데이터'!B159)</x:f>
        <x:v>독일</x:v>
      </x:c>
      <x:c r="C99" s="64" t="str">
        <x:f>IF('국가 데이터'!F159="","",'국가 데이터'!F159)</x:f>
        <x:v>무사증</x:v>
      </x:c>
      <x:c r="D99" s="64" t="str">
        <x:f>IF('국가 데이터'!G159="","",'국가 데이터'!G159)</x:f>
        <x:v>아니오</x:v>
      </x:c>
      <x:c r="E99" s="64" t="str">
        <x:f>IF('국가 데이터'!K159="","",'국가 데이터'!K159)</x:f>
        <x:v>외교부 기준·갱신 확인 필요</x:v>
      </x:c>
      <x:c r="F99" s="65" t="str">
        <x:f>IF('국가 데이터'!N159="","",'국가 데이터'!N159)</x:f>
      </x:c>
      <x:c r="G99" s="65" t="str">
        <x:f>IF('국가 데이터'!R159="","",'국가 데이터'!R159)</x:f>
      </x:c>
      <x:c r="H99" s="64" t="str">
        <x:v>국가 데이터 159행</x:v>
      </x:c>
    </x:row>
    <x:row r="100">
      <x:c r="A100" s="64" t="str">
        <x:f>IF('국가 데이터'!M48="","",'국가 데이터'!M48)</x:f>
        <x:v>P2</x:v>
      </x:c>
      <x:c r="B100" s="64" t="str">
        <x:f>IF('국가 데이터'!B48="","",'국가 데이터'!B48)</x:f>
        <x:v>라오스</x:v>
      </x:c>
      <x:c r="C100" s="64" t="str">
        <x:f>IF('국가 데이터'!F48="","",'국가 데이터'!F48)</x:f>
        <x:v>무사증</x:v>
      </x:c>
      <x:c r="D100" s="64" t="str">
        <x:f>IF('국가 데이터'!G48="","",'국가 데이터'!G48)</x:f>
        <x:v>아니오</x:v>
      </x:c>
      <x:c r="E100" s="64" t="str">
        <x:f>IF('국가 데이터'!K48="","",'국가 데이터'!K48)</x:f>
        <x:v>외교부 기준·갱신 확인 필요</x:v>
      </x:c>
      <x:c r="F100" s="65" t="str">
        <x:f>IF('국가 데이터'!N48="","",'국가 데이터'!N48)</x:f>
      </x:c>
      <x:c r="G100" s="65" t="str">
        <x:f>IF('국가 데이터'!R48="","",'국가 데이터'!R48)</x:f>
      </x:c>
      <x:c r="H100" s="64" t="str">
        <x:v>국가 데이터 48행</x:v>
      </x:c>
    </x:row>
    <x:row r="101">
      <x:c r="A101" s="64" t="str">
        <x:f>IF('국가 데이터'!M98="","",'국가 데이터'!M98)</x:f>
        <x:v>P2</x:v>
      </x:c>
      <x:c r="B101" s="64" t="str">
        <x:f>IF('국가 데이터'!B98="","",'국가 데이터'!B98)</x:f>
        <x:v>라이베리아</x:v>
      </x:c>
      <x:c r="C101" s="64" t="str">
        <x:f>IF('국가 데이터'!F98="","",'국가 데이터'!F98)</x:f>
        <x:v>무사증</x:v>
      </x:c>
      <x:c r="D101" s="64" t="str">
        <x:f>IF('국가 데이터'!G98="","",'국가 데이터'!G98)</x:f>
        <x:v>아니오</x:v>
      </x:c>
      <x:c r="E101" s="64" t="str">
        <x:f>IF('국가 데이터'!K98="","",'국가 데이터'!K98)</x:f>
        <x:v>외교부 기준·갱신 확인 필요</x:v>
      </x:c>
      <x:c r="F101" s="65" t="str">
        <x:f>IF('국가 데이터'!N98="","",'국가 데이터'!N98)</x:f>
      </x:c>
      <x:c r="G101" s="65" t="str">
        <x:f>IF('국가 데이터'!R98="","",'국가 데이터'!R98)</x:f>
      </x:c>
      <x:c r="H101" s="64" t="str">
        <x:v>국가 데이터 98행</x:v>
      </x:c>
    </x:row>
    <x:row r="102">
      <x:c r="A102" s="64" t="str">
        <x:f>IF('국가 데이터'!M160="","",'국가 데이터'!M160)</x:f>
        <x:v>P2</x:v>
      </x:c>
      <x:c r="B102" s="64" t="str">
        <x:f>IF('국가 데이터'!B160="","",'국가 데이터'!B160)</x:f>
        <x:v>라트비아</x:v>
      </x:c>
      <x:c r="C102" s="64" t="str">
        <x:f>IF('국가 데이터'!F160="","",'국가 데이터'!F160)</x:f>
        <x:v>무사증</x:v>
      </x:c>
      <x:c r="D102" s="64" t="str">
        <x:f>IF('국가 데이터'!G160="","",'국가 데이터'!G160)</x:f>
        <x:v>아니오</x:v>
      </x:c>
      <x:c r="E102" s="64" t="str">
        <x:f>IF('국가 데이터'!K160="","",'국가 데이터'!K160)</x:f>
        <x:v>외교부 기준·갱신 확인 필요</x:v>
      </x:c>
      <x:c r="F102" s="65" t="str">
        <x:f>IF('국가 데이터'!N160="","",'국가 데이터'!N160)</x:f>
      </x:c>
      <x:c r="G102" s="65" t="str">
        <x:f>IF('국가 데이터'!R160="","",'국가 데이터'!R160)</x:f>
      </x:c>
      <x:c r="H102" s="64" t="str">
        <x:v>국가 데이터 160행</x:v>
      </x:c>
    </x:row>
    <x:row r="103">
      <x:c r="A103" s="64" t="str">
        <x:f>IF('국가 데이터'!M161="","",'국가 데이터'!M161)</x:f>
        <x:v>P2</x:v>
      </x:c>
      <x:c r="B103" s="64" t="str">
        <x:f>IF('국가 데이터'!B161="","",'국가 데이터'!B161)</x:f>
        <x:v>러시아</x:v>
      </x:c>
      <x:c r="C103" s="64" t="str">
        <x:f>IF('국가 데이터'!F161="","",'국가 데이터'!F161)</x:f>
        <x:v>무사증</x:v>
      </x:c>
      <x:c r="D103" s="64" t="str">
        <x:f>IF('국가 데이터'!G161="","",'국가 데이터'!G161)</x:f>
        <x:v>아니오</x:v>
      </x:c>
      <x:c r="E103" s="64" t="str">
        <x:f>IF('국가 데이터'!K161="","",'국가 데이터'!K161)</x:f>
        <x:v>외교부 기준·갱신 확인 필요</x:v>
      </x:c>
      <x:c r="F103" s="65" t="str">
        <x:f>IF('국가 데이터'!N161="","",'국가 데이터'!N161)</x:f>
      </x:c>
      <x:c r="G103" s="65" t="str">
        <x:f>IF('국가 데이터'!R161="","",'국가 데이터'!R161)</x:f>
      </x:c>
      <x:c r="H103" s="64" t="str">
        <x:v>국가 데이터 161행</x:v>
      </x:c>
    </x:row>
    <x:row r="104">
      <x:c r="A104" s="64" t="str">
        <x:f>IF('국가 데이터'!M100="","",'국가 데이터'!M100)</x:f>
        <x:v>P2</x:v>
      </x:c>
      <x:c r="B104" s="64" t="str">
        <x:f>IF('국가 데이터'!B100="","",'국가 데이터'!B100)</x:f>
        <x:v>레소토</x:v>
      </x:c>
      <x:c r="C104" s="64" t="str">
        <x:f>IF('국가 데이터'!F100="","",'국가 데이터'!F100)</x:f>
        <x:v>무사증</x:v>
      </x:c>
      <x:c r="D104" s="64" t="str">
        <x:f>IF('국가 데이터'!G100="","",'국가 데이터'!G100)</x:f>
        <x:v>아니오</x:v>
      </x:c>
      <x:c r="E104" s="64" t="str">
        <x:f>IF('국가 데이터'!K100="","",'국가 데이터'!K100)</x:f>
        <x:v>외교부 기준·갱신 확인 필요</x:v>
      </x:c>
      <x:c r="F104" s="65" t="str">
        <x:f>IF('국가 데이터'!N100="","",'국가 데이터'!N100)</x:f>
      </x:c>
      <x:c r="G104" s="65" t="str">
        <x:f>IF('국가 데이터'!R100="","",'국가 데이터'!R100)</x:f>
      </x:c>
      <x:c r="H104" s="64" t="str">
        <x:v>국가 데이터 100행</x:v>
      </x:c>
    </x:row>
    <x:row r="105">
      <x:c r="A105" s="64" t="str">
        <x:f>IF('국가 데이터'!M162="","",'국가 데이터'!M162)</x:f>
        <x:v>P2</x:v>
      </x:c>
      <x:c r="B105" s="64" t="str">
        <x:f>IF('국가 데이터'!B162="","",'국가 데이터'!B162)</x:f>
        <x:v>루마니아</x:v>
      </x:c>
      <x:c r="C105" s="64" t="str">
        <x:f>IF('국가 데이터'!F162="","",'국가 데이터'!F162)</x:f>
        <x:v>무사증</x:v>
      </x:c>
      <x:c r="D105" s="64" t="str">
        <x:f>IF('국가 데이터'!G162="","",'국가 데이터'!G162)</x:f>
        <x:v>아니오</x:v>
      </x:c>
      <x:c r="E105" s="64" t="str">
        <x:f>IF('국가 데이터'!K162="","",'국가 데이터'!K162)</x:f>
        <x:v>외교부 기준·갱신 확인 필요</x:v>
      </x:c>
      <x:c r="F105" s="65" t="str">
        <x:f>IF('국가 데이터'!N162="","",'국가 데이터'!N162)</x:f>
      </x:c>
      <x:c r="G105" s="65" t="str">
        <x:f>IF('국가 데이터'!R162="","",'국가 데이터'!R162)</x:f>
      </x:c>
      <x:c r="H105" s="64" t="str">
        <x:v>국가 데이터 162행</x:v>
      </x:c>
    </x:row>
    <x:row r="106">
      <x:c r="A106" s="64" t="str">
        <x:f>IF('국가 데이터'!M163="","",'국가 데이터'!M163)</x:f>
        <x:v>P2</x:v>
      </x:c>
      <x:c r="B106" s="64" t="str">
        <x:f>IF('국가 데이터'!B163="","",'국가 데이터'!B163)</x:f>
        <x:v>룩셈부르크</x:v>
      </x:c>
      <x:c r="C106" s="64" t="str">
        <x:f>IF('국가 데이터'!F163="","",'국가 데이터'!F163)</x:f>
        <x:v>무사증</x:v>
      </x:c>
      <x:c r="D106" s="64" t="str">
        <x:f>IF('국가 데이터'!G163="","",'국가 데이터'!G163)</x:f>
        <x:v>아니오</x:v>
      </x:c>
      <x:c r="E106" s="64" t="str">
        <x:f>IF('국가 데이터'!K163="","",'국가 데이터'!K163)</x:f>
        <x:v>외교부 기준·갱신 확인 필요</x:v>
      </x:c>
      <x:c r="F106" s="65" t="str">
        <x:f>IF('국가 데이터'!N163="","",'국가 데이터'!N163)</x:f>
      </x:c>
      <x:c r="G106" s="65" t="str">
        <x:f>IF('국가 데이터'!R163="","",'국가 데이터'!R163)</x:f>
      </x:c>
      <x:c r="H106" s="64" t="str">
        <x:v>국가 데이터 163행</x:v>
      </x:c>
    </x:row>
    <x:row r="107">
      <x:c r="A107" s="64" t="str">
        <x:f>IF('국가 데이터'!M164="","",'국가 데이터'!M164)</x:f>
        <x:v>P2</x:v>
      </x:c>
      <x:c r="B107" s="64" t="str">
        <x:f>IF('국가 데이터'!B164="","",'국가 데이터'!B164)</x:f>
        <x:v>리투아니아</x:v>
      </x:c>
      <x:c r="C107" s="64" t="str">
        <x:f>IF('국가 데이터'!F164="","",'국가 데이터'!F164)</x:f>
        <x:v>무사증</x:v>
      </x:c>
      <x:c r="D107" s="64" t="str">
        <x:f>IF('국가 데이터'!G164="","",'국가 데이터'!G164)</x:f>
        <x:v>아니오</x:v>
      </x:c>
      <x:c r="E107" s="64" t="str">
        <x:f>IF('국가 데이터'!K164="","",'국가 데이터'!K164)</x:f>
        <x:v>외교부 기준·갱신 확인 필요</x:v>
      </x:c>
      <x:c r="F107" s="65" t="str">
        <x:f>IF('국가 데이터'!N164="","",'국가 데이터'!N164)</x:f>
      </x:c>
      <x:c r="G107" s="65" t="str">
        <x:f>IF('국가 데이터'!R164="","",'국가 데이터'!R164)</x:f>
      </x:c>
      <x:c r="H107" s="64" t="str">
        <x:v>국가 데이터 164행</x:v>
      </x:c>
    </x:row>
    <x:row r="108">
      <x:c r="A108" s="64" t="str">
        <x:f>IF('국가 데이터'!M165="","",'국가 데이터'!M165)</x:f>
        <x:v>P2</x:v>
      </x:c>
      <x:c r="B108" s="64" t="str">
        <x:f>IF('국가 데이터'!B165="","",'국가 데이터'!B165)</x:f>
        <x:v>리히텐슈타인</x:v>
      </x:c>
      <x:c r="C108" s="64" t="str">
        <x:f>IF('국가 데이터'!F165="","",'국가 데이터'!F165)</x:f>
        <x:v>무사증</x:v>
      </x:c>
      <x:c r="D108" s="64" t="str">
        <x:f>IF('국가 데이터'!G165="","",'국가 데이터'!G165)</x:f>
        <x:v>아니오</x:v>
      </x:c>
      <x:c r="E108" s="64" t="str">
        <x:f>IF('국가 데이터'!K165="","",'국가 데이터'!K165)</x:f>
        <x:v>외교부 기준·갱신 확인 필요</x:v>
      </x:c>
      <x:c r="F108" s="65" t="str">
        <x:f>IF('국가 데이터'!N165="","",'국가 데이터'!N165)</x:f>
      </x:c>
      <x:c r="G108" s="65" t="str">
        <x:f>IF('국가 데이터'!R165="","",'국가 데이터'!R165)</x:f>
      </x:c>
      <x:c r="H108" s="64" t="str">
        <x:v>국가 데이터 165행</x:v>
      </x:c>
    </x:row>
    <x:row r="109">
      <x:c r="A109" s="64" t="str">
        <x:f>IF('국가 데이터'!M49="","",'국가 데이터'!M49)</x:f>
        <x:v>P2</x:v>
      </x:c>
      <x:c r="B109" s="64" t="str">
        <x:f>IF('국가 데이터'!B49="","",'국가 데이터'!B49)</x:f>
        <x:v>마셜제도</x:v>
      </x:c>
      <x:c r="C109" s="64" t="str">
        <x:f>IF('국가 데이터'!F49="","",'국가 데이터'!F49)</x:f>
        <x:v>무사증</x:v>
      </x:c>
      <x:c r="D109" s="64" t="str">
        <x:f>IF('국가 데이터'!G49="","",'국가 데이터'!G49)</x:f>
        <x:v>아니오</x:v>
      </x:c>
      <x:c r="E109" s="64" t="str">
        <x:f>IF('국가 데이터'!K49="","",'국가 데이터'!K49)</x:f>
        <x:v>외교부 기준·갱신 확인 필요</x:v>
      </x:c>
      <x:c r="F109" s="65" t="str">
        <x:f>IF('국가 데이터'!N49="","",'국가 데이터'!N49)</x:f>
      </x:c>
      <x:c r="G109" s="65" t="str">
        <x:f>IF('국가 데이터'!R49="","",'국가 데이터'!R49)</x:f>
      </x:c>
      <x:c r="H109" s="64" t="str">
        <x:v>국가 데이터 49행</x:v>
      </x:c>
    </x:row>
    <x:row r="110">
      <x:c r="A110" s="64" t="str">
        <x:f>IF('국가 데이터'!M50="","",'국가 데이터'!M50)</x:f>
        <x:v>P2</x:v>
      </x:c>
      <x:c r="B110" s="64" t="str">
        <x:f>IF('국가 데이터'!B50="","",'국가 데이터'!B50)</x:f>
        <x:v>마이크로네시아</x:v>
      </x:c>
      <x:c r="C110" s="64" t="str">
        <x:f>IF('국가 데이터'!F50="","",'국가 데이터'!F50)</x:f>
        <x:v>무사증</x:v>
      </x:c>
      <x:c r="D110" s="64" t="str">
        <x:f>IF('국가 데이터'!G50="","",'국가 데이터'!G50)</x:f>
        <x:v>아니오</x:v>
      </x:c>
      <x:c r="E110" s="64" t="str">
        <x:f>IF('국가 데이터'!K50="","",'국가 데이터'!K50)</x:f>
        <x:v>외교부 기준·갱신 확인 필요</x:v>
      </x:c>
      <x:c r="F110" s="65" t="str">
        <x:f>IF('국가 데이터'!N50="","",'국가 데이터'!N50)</x:f>
      </x:c>
      <x:c r="G110" s="65" t="str">
        <x:f>IF('국가 데이터'!R50="","",'국가 데이터'!R50)</x:f>
      </x:c>
      <x:c r="H110" s="64" t="str">
        <x:v>국가 데이터 50행</x:v>
      </x:c>
    </x:row>
    <x:row r="111">
      <x:c r="A111" s="64" t="str">
        <x:f>IF('국가 데이터'!M51="","",'국가 데이터'!M51)</x:f>
        <x:v>P2</x:v>
      </x:c>
      <x:c r="B111" s="64" t="str">
        <x:f>IF('국가 데이터'!B51="","",'국가 데이터'!B51)</x:f>
        <x:v>마카오</x:v>
      </x:c>
      <x:c r="C111" s="64" t="str">
        <x:f>IF('국가 데이터'!F51="","",'국가 데이터'!F51)</x:f>
        <x:v>무사증</x:v>
      </x:c>
      <x:c r="D111" s="64" t="str">
        <x:f>IF('국가 데이터'!G51="","",'국가 데이터'!G51)</x:f>
        <x:v>아니오</x:v>
      </x:c>
      <x:c r="E111" s="64" t="str">
        <x:f>IF('국가 데이터'!K51="","",'국가 데이터'!K51)</x:f>
        <x:v>외교부 기준·갱신 확인 필요</x:v>
      </x:c>
      <x:c r="F111" s="65" t="str">
        <x:f>IF('국가 데이터'!N51="","",'국가 데이터'!N51)</x:f>
      </x:c>
      <x:c r="G111" s="65" t="str">
        <x:f>IF('국가 데이터'!R51="","",'국가 데이터'!R51)</x:f>
      </x:c>
      <x:c r="H111" s="64" t="str">
        <x:v>국가 데이터 51행</x:v>
      </x:c>
    </x:row>
    <x:row r="112">
      <x:c r="A112" s="64" t="str">
        <x:f>IF('국가 데이터'!M12="","",'국가 데이터'!M12)</x:f>
        <x:v>P2</x:v>
      </x:c>
      <x:c r="B112" s="64" t="str">
        <x:f>IF('국가 데이터'!B12="","",'국가 데이터'!B12)</x:f>
        <x:v>멕시코</x:v>
      </x:c>
      <x:c r="C112" s="64" t="str">
        <x:f>IF('국가 데이터'!F12="","",'국가 데이터'!F12)</x:f>
        <x:v>무사증</x:v>
      </x:c>
      <x:c r="D112" s="64" t="str">
        <x:f>IF('국가 데이터'!G12="","",'국가 데이터'!G12)</x:f>
        <x:v>아니오</x:v>
      </x:c>
      <x:c r="E112" s="64" t="str">
        <x:f>IF('국가 데이터'!K12="","",'국가 데이터'!K12)</x:f>
        <x:v>외교부 기준·갱신 확인 필요</x:v>
      </x:c>
      <x:c r="F112" s="65" t="str">
        <x:f>IF('국가 데이터'!N12="","",'국가 데이터'!N12)</x:f>
      </x:c>
      <x:c r="G112" s="65" t="str">
        <x:f>IF('국가 데이터'!R12="","",'국가 데이터'!R12)</x:f>
      </x:c>
      <x:c r="H112" s="64" t="str">
        <x:v>국가 데이터 12행</x:v>
      </x:c>
    </x:row>
    <x:row r="113">
      <x:c r="A113" s="64" t="str">
        <x:f>IF('국가 데이터'!M106="","",'국가 데이터'!M106)</x:f>
        <x:v>P2</x:v>
      </x:c>
      <x:c r="B113" s="64" t="str">
        <x:f>IF('국가 데이터'!B106="","",'국가 데이터'!B106)</x:f>
        <x:v>모로코</x:v>
      </x:c>
      <x:c r="C113" s="64" t="str">
        <x:f>IF('국가 데이터'!F106="","",'국가 데이터'!F106)</x:f>
        <x:v>무사증</x:v>
      </x:c>
      <x:c r="D113" s="64" t="str">
        <x:f>IF('국가 데이터'!G106="","",'국가 데이터'!G106)</x:f>
        <x:v>아니오</x:v>
      </x:c>
      <x:c r="E113" s="64" t="str">
        <x:f>IF('국가 데이터'!K106="","",'국가 데이터'!K106)</x:f>
        <x:v>외교부 기준·갱신 확인 필요</x:v>
      </x:c>
      <x:c r="F113" s="65" t="str">
        <x:f>IF('국가 데이터'!N106="","",'국가 데이터'!N106)</x:f>
      </x:c>
      <x:c r="G113" s="65" t="str">
        <x:f>IF('국가 데이터'!R106="","",'국가 데이터'!R106)</x:f>
      </x:c>
      <x:c r="H113" s="64" t="str">
        <x:v>국가 데이터 106행</x:v>
      </x:c>
    </x:row>
    <x:row r="114">
      <x:c r="A114" s="64" t="str">
        <x:f>IF('국가 데이터'!M107="","",'국가 데이터'!M107)</x:f>
        <x:v>P2</x:v>
      </x:c>
      <x:c r="B114" s="64" t="str">
        <x:f>IF('국가 데이터'!B107="","",'국가 데이터'!B107)</x:f>
        <x:v>모리셔스</x:v>
      </x:c>
      <x:c r="C114" s="64" t="str">
        <x:f>IF('국가 데이터'!F107="","",'국가 데이터'!F107)</x:f>
        <x:v>무사증</x:v>
      </x:c>
      <x:c r="D114" s="64" t="str">
        <x:f>IF('국가 데이터'!G107="","",'국가 데이터'!G107)</x:f>
        <x:v>아니오</x:v>
      </x:c>
      <x:c r="E114" s="64" t="str">
        <x:f>IF('국가 데이터'!K107="","",'국가 데이터'!K107)</x:f>
        <x:v>외교부 기준·갱신 확인 필요</x:v>
      </x:c>
      <x:c r="F114" s="65" t="str">
        <x:f>IF('국가 데이터'!N107="","",'국가 데이터'!N107)</x:f>
      </x:c>
      <x:c r="G114" s="65" t="str">
        <x:f>IF('국가 데이터'!R107="","",'국가 데이터'!R107)</x:f>
      </x:c>
      <x:c r="H114" s="64" t="str">
        <x:v>국가 데이터 107행</x:v>
      </x:c>
    </x:row>
    <x:row r="115">
      <x:c r="A115" s="64" t="str">
        <x:f>IF('국가 데이터'!M166="","",'국가 데이터'!M166)</x:f>
        <x:v>P2</x:v>
      </x:c>
      <x:c r="B115" s="64" t="str">
        <x:f>IF('국가 데이터'!B166="","",'국가 데이터'!B166)</x:f>
        <x:v>몬테네그로</x:v>
      </x:c>
      <x:c r="C115" s="64" t="str">
        <x:f>IF('국가 데이터'!F166="","",'국가 데이터'!F166)</x:f>
        <x:v>무사증</x:v>
      </x:c>
      <x:c r="D115" s="64" t="str">
        <x:f>IF('국가 데이터'!G166="","",'국가 데이터'!G166)</x:f>
        <x:v>아니오</x:v>
      </x:c>
      <x:c r="E115" s="64" t="str">
        <x:f>IF('국가 데이터'!K166="","",'국가 데이터'!K166)</x:f>
        <x:v>외교부 기준·갱신 확인 필요</x:v>
      </x:c>
      <x:c r="F115" s="65" t="str">
        <x:f>IF('국가 데이터'!N166="","",'국가 데이터'!N166)</x:f>
      </x:c>
      <x:c r="G115" s="65" t="str">
        <x:f>IF('국가 데이터'!R166="","",'국가 데이터'!R166)</x:f>
      </x:c>
      <x:c r="H115" s="64" t="str">
        <x:v>국가 데이터 166행</x:v>
      </x:c>
    </x:row>
    <x:row r="116">
      <x:c r="A116" s="64" t="str">
        <x:f>IF('국가 데이터'!M167="","",'국가 데이터'!M167)</x:f>
        <x:v>P2</x:v>
      </x:c>
      <x:c r="B116" s="64" t="str">
        <x:f>IF('국가 데이터'!B167="","",'국가 데이터'!B167)</x:f>
        <x:v>몰도바</x:v>
      </x:c>
      <x:c r="C116" s="64" t="str">
        <x:f>IF('국가 데이터'!F167="","",'국가 데이터'!F167)</x:f>
        <x:v>무사증</x:v>
      </x:c>
      <x:c r="D116" s="64" t="str">
        <x:f>IF('국가 데이터'!G167="","",'국가 데이터'!G167)</x:f>
        <x:v>아니오</x:v>
      </x:c>
      <x:c r="E116" s="64" t="str">
        <x:f>IF('국가 데이터'!K167="","",'국가 데이터'!K167)</x:f>
        <x:v>외교부 기준·갱신 확인 필요</x:v>
      </x:c>
      <x:c r="F116" s="65" t="str">
        <x:f>IF('국가 데이터'!N167="","",'국가 데이터'!N167)</x:f>
      </x:c>
      <x:c r="G116" s="65" t="str">
        <x:f>IF('국가 데이터'!R167="","",'국가 데이터'!R167)</x:f>
      </x:c>
      <x:c r="H116" s="64" t="str">
        <x:v>국가 데이터 167행</x:v>
      </x:c>
    </x:row>
    <x:row r="117">
      <x:c r="A117" s="64" t="str">
        <x:f>IF('국가 데이터'!M168="","",'국가 데이터'!M168)</x:f>
        <x:v>P2</x:v>
      </x:c>
      <x:c r="B117" s="64" t="str">
        <x:f>IF('국가 데이터'!B168="","",'국가 데이터'!B168)</x:f>
        <x:v>몰타</x:v>
      </x:c>
      <x:c r="C117" s="64" t="str">
        <x:f>IF('국가 데이터'!F168="","",'국가 데이터'!F168)</x:f>
        <x:v>무사증</x:v>
      </x:c>
      <x:c r="D117" s="64" t="str">
        <x:f>IF('국가 데이터'!G168="","",'국가 데이터'!G168)</x:f>
        <x:v>아니오</x:v>
      </x:c>
      <x:c r="E117" s="64" t="str">
        <x:f>IF('국가 데이터'!K168="","",'국가 데이터'!K168)</x:f>
        <x:v>외교부 기준·갱신 확인 필요</x:v>
      </x:c>
      <x:c r="F117" s="65" t="str">
        <x:f>IF('국가 데이터'!N168="","",'국가 데이터'!N168)</x:f>
      </x:c>
      <x:c r="G117" s="65" t="str">
        <x:f>IF('국가 데이터'!R168="","",'국가 데이터'!R168)</x:f>
      </x:c>
      <x:c r="H117" s="64" t="str">
        <x:v>국가 데이터 168행</x:v>
      </x:c>
    </x:row>
    <x:row r="118">
      <x:c r="A118" s="64" t="str">
        <x:f>IF('국가 데이터'!M14="","",'국가 데이터'!M14)</x:f>
        <x:v>P2</x:v>
      </x:c>
      <x:c r="B118" s="64" t="str">
        <x:f>IF('국가 데이터'!B14="","",'국가 데이터'!B14)</x:f>
        <x:v>바베이도스</x:v>
      </x:c>
      <x:c r="C118" s="64" t="str">
        <x:f>IF('국가 데이터'!F14="","",'국가 데이터'!F14)</x:f>
        <x:v>무사증</x:v>
      </x:c>
      <x:c r="D118" s="64" t="str">
        <x:f>IF('국가 데이터'!G14="","",'국가 데이터'!G14)</x:f>
        <x:v>아니오</x:v>
      </x:c>
      <x:c r="E118" s="64" t="str">
        <x:f>IF('국가 데이터'!K14="","",'국가 데이터'!K14)</x:f>
        <x:v>외교부 기준·갱신 확인 필요</x:v>
      </x:c>
      <x:c r="F118" s="65" t="str">
        <x:f>IF('국가 데이터'!N14="","",'국가 데이터'!N14)</x:f>
      </x:c>
      <x:c r="G118" s="65" t="str">
        <x:f>IF('국가 데이터'!R14="","",'국가 데이터'!R14)</x:f>
      </x:c>
      <x:c r="H118" s="64" t="str">
        <x:v>국가 데이터 14행</x:v>
      </x:c>
    </x:row>
    <x:row r="119">
      <x:c r="A119" s="64" t="str">
        <x:f>IF('국가 데이터'!M15="","",'국가 데이터'!M15)</x:f>
        <x:v>P2</x:v>
      </x:c>
      <x:c r="B119" s="64" t="str">
        <x:f>IF('국가 데이터'!B15="","",'국가 데이터'!B15)</x:f>
        <x:v>바하마</x:v>
      </x:c>
      <x:c r="C119" s="64" t="str">
        <x:f>IF('국가 데이터'!F15="","",'국가 데이터'!F15)</x:f>
        <x:v>무사증</x:v>
      </x:c>
      <x:c r="D119" s="64" t="str">
        <x:f>IF('국가 데이터'!G15="","",'국가 데이터'!G15)</x:f>
        <x:v>아니오</x:v>
      </x:c>
      <x:c r="E119" s="64" t="str">
        <x:f>IF('국가 데이터'!K15="","",'국가 데이터'!K15)</x:f>
        <x:v>외교부 기준·갱신 확인 필요</x:v>
      </x:c>
      <x:c r="F119" s="65" t="str">
        <x:f>IF('국가 데이터'!N15="","",'국가 데이터'!N15)</x:f>
      </x:c>
      <x:c r="G119" s="65" t="str">
        <x:f>IF('국가 데이터'!R15="","",'국가 데이터'!R15)</x:f>
      </x:c>
      <x:c r="H119" s="64" t="str">
        <x:v>국가 데이터 15행</x:v>
      </x:c>
    </x:row>
    <x:row r="120">
      <x:c r="A120" s="64" t="str">
        <x:f>IF('국가 데이터'!M16="","",'국가 데이터'!M16)</x:f>
        <x:v>P2</x:v>
      </x:c>
      <x:c r="B120" s="64" t="str">
        <x:f>IF('국가 데이터'!B16="","",'국가 데이터'!B16)</x:f>
        <x:v>베네수엘라</x:v>
      </x:c>
      <x:c r="C120" s="64" t="str">
        <x:f>IF('국가 데이터'!F16="","",'국가 데이터'!F16)</x:f>
        <x:v>무사증</x:v>
      </x:c>
      <x:c r="D120" s="64" t="str">
        <x:f>IF('국가 데이터'!G16="","",'국가 데이터'!G16)</x:f>
        <x:v>아니오</x:v>
      </x:c>
      <x:c r="E120" s="64" t="str">
        <x:f>IF('국가 데이터'!K16="","",'국가 데이터'!K16)</x:f>
        <x:v>외교부 기준·갱신 확인 필요</x:v>
      </x:c>
      <x:c r="F120" s="65" t="str">
        <x:f>IF('국가 데이터'!N16="","",'국가 데이터'!N16)</x:f>
      </x:c>
      <x:c r="G120" s="65" t="str">
        <x:f>IF('국가 데이터'!R16="","",'국가 데이터'!R16)</x:f>
      </x:c>
      <x:c r="H120" s="64" t="str">
        <x:v>국가 데이터 16행</x:v>
      </x:c>
    </x:row>
    <x:row r="121">
      <x:c r="A121" s="64" t="str">
        <x:f>IF('국가 데이터'!M58="","",'국가 데이터'!M58)</x:f>
        <x:v>P2</x:v>
      </x:c>
      <x:c r="B121" s="64" t="str">
        <x:f>IF('국가 데이터'!B58="","",'국가 데이터'!B58)</x:f>
        <x:v>베트남</x:v>
      </x:c>
      <x:c r="C121" s="64" t="str">
        <x:f>IF('국가 데이터'!F58="","",'국가 데이터'!F58)</x:f>
        <x:v>무사증</x:v>
      </x:c>
      <x:c r="D121" s="64" t="str">
        <x:f>IF('국가 데이터'!G58="","",'국가 데이터'!G58)</x:f>
        <x:v>아니오</x:v>
      </x:c>
      <x:c r="E121" s="64" t="str">
        <x:f>IF('국가 데이터'!K58="","",'국가 데이터'!K58)</x:f>
        <x:v>외교부 기준·갱신 확인 필요</x:v>
      </x:c>
      <x:c r="F121" s="65" t="str">
        <x:f>IF('국가 데이터'!N58="","",'국가 데이터'!N58)</x:f>
      </x:c>
      <x:c r="G121" s="65" t="str">
        <x:f>IF('국가 데이터'!R58="","",'국가 데이터'!R58)</x:f>
      </x:c>
      <x:c r="H121" s="64" t="str">
        <x:v>국가 데이터 58행</x:v>
      </x:c>
    </x:row>
    <x:row r="122">
      <x:c r="A122" s="64" t="str">
        <x:f>IF('국가 데이터'!M169="","",'국가 데이터'!M169)</x:f>
        <x:v>P2</x:v>
      </x:c>
      <x:c r="B122" s="64" t="str">
        <x:f>IF('국가 데이터'!B169="","",'국가 데이터'!B169)</x:f>
        <x:v>벨기에</x:v>
      </x:c>
      <x:c r="C122" s="64" t="str">
        <x:f>IF('국가 데이터'!F169="","",'국가 데이터'!F169)</x:f>
        <x:v>무사증</x:v>
      </x:c>
      <x:c r="D122" s="64" t="str">
        <x:f>IF('국가 데이터'!G169="","",'국가 데이터'!G169)</x:f>
        <x:v>아니오</x:v>
      </x:c>
      <x:c r="E122" s="64" t="str">
        <x:f>IF('국가 데이터'!K169="","",'국가 데이터'!K169)</x:f>
        <x:v>외교부 기준·갱신 확인 필요</x:v>
      </x:c>
      <x:c r="F122" s="65" t="str">
        <x:f>IF('국가 데이터'!N169="","",'국가 데이터'!N169)</x:f>
      </x:c>
      <x:c r="G122" s="65" t="str">
        <x:f>IF('국가 데이터'!R169="","",'국가 데이터'!R169)</x:f>
      </x:c>
      <x:c r="H122" s="64" t="str">
        <x:v>국가 데이터 169행</x:v>
      </x:c>
    </x:row>
    <x:row r="123">
      <x:c r="A123" s="64" t="str">
        <x:f>IF('국가 데이터'!M170="","",'국가 데이터'!M170)</x:f>
        <x:v>P2</x:v>
      </x:c>
      <x:c r="B123" s="64" t="str">
        <x:f>IF('국가 데이터'!B170="","",'국가 데이터'!B170)</x:f>
        <x:v>벨라루스</x:v>
      </x:c>
      <x:c r="C123" s="64" t="str">
        <x:f>IF('국가 데이터'!F170="","",'국가 데이터'!F170)</x:f>
        <x:v>무사증</x:v>
      </x:c>
      <x:c r="D123" s="64" t="str">
        <x:f>IF('국가 데이터'!G170="","",'국가 데이터'!G170)</x:f>
        <x:v>아니오</x:v>
      </x:c>
      <x:c r="E123" s="64" t="str">
        <x:f>IF('국가 데이터'!K170="","",'국가 데이터'!K170)</x:f>
        <x:v>외교부 기준·갱신 확인 필요</x:v>
      </x:c>
      <x:c r="F123" s="65" t="str">
        <x:f>IF('국가 데이터'!N170="","",'국가 데이터'!N170)</x:f>
      </x:c>
      <x:c r="G123" s="65" t="str">
        <x:f>IF('국가 데이터'!R170="","",'국가 데이터'!R170)</x:f>
        <x:v>※ 벨라루스 : (1) 러시아를 제외한 제3국으로부터, (2) 민스크, 브레스트, 비쳅스크, 고멜, 그로드노, 모길료프 국제공항을 통해 출입국 하는 경우에만 무사증입국 가능(1년에 최대 90일까지 인정)</x:v>
      </x:c>
      <x:c r="H123" s="64" t="str">
        <x:v>국가 데이터 170행</x:v>
      </x:c>
    </x:row>
    <x:row r="124">
      <x:c r="A124" s="64" t="str">
        <x:f>IF('국가 데이터'!M17="","",'국가 데이터'!M17)</x:f>
        <x:v>P2</x:v>
      </x:c>
      <x:c r="B124" s="64" t="str">
        <x:f>IF('국가 데이터'!B17="","",'국가 데이터'!B17)</x:f>
        <x:v>벨리즈</x:v>
      </x:c>
      <x:c r="C124" s="64" t="str">
        <x:f>IF('국가 데이터'!F17="","",'국가 데이터'!F17)</x:f>
        <x:v>무사증</x:v>
      </x:c>
      <x:c r="D124" s="64" t="str">
        <x:f>IF('국가 데이터'!G17="","",'국가 데이터'!G17)</x:f>
        <x:v>아니오</x:v>
      </x:c>
      <x:c r="E124" s="64" t="str">
        <x:f>IF('국가 데이터'!K17="","",'국가 데이터'!K17)</x:f>
        <x:v>외교부 기준·갱신 확인 필요</x:v>
      </x:c>
      <x:c r="F124" s="65" t="str">
        <x:f>IF('국가 데이터'!N17="","",'국가 데이터'!N17)</x:f>
      </x:c>
      <x:c r="G124" s="65" t="str">
        <x:f>IF('국가 데이터'!R17="","",'국가 데이터'!R17)</x:f>
      </x:c>
      <x:c r="H124" s="64" t="str">
        <x:v>국가 데이터 17행</x:v>
      </x:c>
    </x:row>
    <x:row r="125">
      <x:c r="A125" s="64" t="str">
        <x:f>IF('국가 데이터'!M171="","",'국가 데이터'!M171)</x:f>
        <x:v>P2</x:v>
      </x:c>
      <x:c r="B125" s="64" t="str">
        <x:f>IF('국가 데이터'!B171="","",'국가 데이터'!B171)</x:f>
        <x:v>보스니아헤르체고비나</x:v>
      </x:c>
      <x:c r="C125" s="64" t="str">
        <x:f>IF('국가 데이터'!F171="","",'국가 데이터'!F171)</x:f>
        <x:v>무사증</x:v>
      </x:c>
      <x:c r="D125" s="64" t="str">
        <x:f>IF('국가 데이터'!G171="","",'국가 데이터'!G171)</x:f>
        <x:v>아니오</x:v>
      </x:c>
      <x:c r="E125" s="64" t="str">
        <x:f>IF('국가 데이터'!K171="","",'국가 데이터'!K171)</x:f>
        <x:v>외교부 기준·갱신 확인 필요</x:v>
      </x:c>
      <x:c r="F125" s="65" t="str">
        <x:f>IF('국가 데이터'!N171="","",'국가 데이터'!N171)</x:f>
      </x:c>
      <x:c r="G125" s="65" t="str">
        <x:f>IF('국가 데이터'!R171="","",'국가 데이터'!R171)</x:f>
      </x:c>
      <x:c r="H125" s="64" t="str">
        <x:v>국가 데이터 171행</x:v>
      </x:c>
    </x:row>
    <x:row r="126">
      <x:c r="A126" s="64" t="str">
        <x:f>IF('국가 데이터'!M112="","",'국가 데이터'!M112)</x:f>
        <x:v>P2</x:v>
      </x:c>
      <x:c r="B126" s="64" t="str">
        <x:f>IF('국가 데이터'!B112="","",'국가 데이터'!B112)</x:f>
        <x:v>보츠와나</x:v>
      </x:c>
      <x:c r="C126" s="64" t="str">
        <x:f>IF('국가 데이터'!F112="","",'국가 데이터'!F112)</x:f>
        <x:v>무사증</x:v>
      </x:c>
      <x:c r="D126" s="64" t="str">
        <x:f>IF('국가 데이터'!G112="","",'국가 데이터'!G112)</x:f>
        <x:v>아니오</x:v>
      </x:c>
      <x:c r="E126" s="64" t="str">
        <x:f>IF('국가 데이터'!K112="","",'국가 데이터'!K112)</x:f>
        <x:v>외교부 기준·갱신 확인 필요</x:v>
      </x:c>
      <x:c r="F126" s="65" t="str">
        <x:f>IF('국가 데이터'!N112="","",'국가 데이터'!N112)</x:f>
      </x:c>
      <x:c r="G126" s="65" t="str">
        <x:f>IF('국가 데이터'!R112="","",'국가 데이터'!R112)</x:f>
      </x:c>
      <x:c r="H126" s="64" t="str">
        <x:v>국가 데이터 112행</x:v>
      </x:c>
    </x:row>
    <x:row r="127">
      <x:c r="A127" s="64" t="str">
        <x:f>IF('국가 데이터'!M19="","",'국가 데이터'!M19)</x:f>
        <x:v>P2</x:v>
      </x:c>
      <x:c r="B127" s="64" t="str">
        <x:f>IF('국가 데이터'!B19="","",'국가 데이터'!B19)</x:f>
        <x:v>북마리아나제도 (사이판)</x:v>
      </x:c>
      <x:c r="C127" s="64" t="str">
        <x:f>IF('국가 데이터'!F19="","",'국가 데이터'!F19)</x:f>
        <x:v>무사증</x:v>
      </x:c>
      <x:c r="D127" s="64" t="str">
        <x:f>IF('국가 데이터'!G19="","",'국가 데이터'!G19)</x:f>
        <x:v>아니오</x:v>
      </x:c>
      <x:c r="E127" s="64" t="str">
        <x:f>IF('국가 데이터'!K19="","",'국가 데이터'!K19)</x:f>
        <x:v>외교부 기준·갱신 확인 필요</x:v>
      </x:c>
      <x:c r="F127" s="65" t="str">
        <x:f>IF('국가 데이터'!N19="","",'국가 데이터'!N19)</x:f>
      </x:c>
      <x:c r="G127" s="65" t="str">
        <x:f>IF('국가 데이터'!R19="","",'국가 데이터'!R19)</x:f>
      </x:c>
      <x:c r="H127" s="64" t="str">
        <x:v>국가 데이터 19행</x:v>
      </x:c>
    </x:row>
    <x:row r="128">
      <x:c r="A128" s="64" t="str">
        <x:f>IF('국가 데이터'!M172="","",'국가 데이터'!M172)</x:f>
        <x:v>P2</x:v>
      </x:c>
      <x:c r="B128" s="64" t="str">
        <x:f>IF('국가 데이터'!B172="","",'국가 데이터'!B172)</x:f>
        <x:v>북마케도니아</x:v>
      </x:c>
      <x:c r="C128" s="64" t="str">
        <x:f>IF('국가 데이터'!F172="","",'국가 데이터'!F172)</x:f>
        <x:v>무사증</x:v>
      </x:c>
      <x:c r="D128" s="64" t="str">
        <x:f>IF('국가 데이터'!G172="","",'국가 데이터'!G172)</x:f>
        <x:v>아니오</x:v>
      </x:c>
      <x:c r="E128" s="64" t="str">
        <x:f>IF('국가 데이터'!K172="","",'국가 데이터'!K172)</x:f>
        <x:v>외교부 기준·갱신 확인 필요</x:v>
      </x:c>
      <x:c r="F128" s="65" t="str">
        <x:f>IF('국가 데이터'!N172="","",'국가 데이터'!N172)</x:f>
      </x:c>
      <x:c r="G128" s="65" t="str">
        <x:f>IF('국가 데이터'!R172="","",'국가 데이터'!R172)</x:f>
      </x:c>
      <x:c r="H128" s="64" t="str">
        <x:v>국가 데이터 172행</x:v>
      </x:c>
    </x:row>
    <x:row r="129">
      <x:c r="A129" s="64" t="str">
        <x:f>IF('국가 데이터'!M173="","",'국가 데이터'!M173)</x:f>
        <x:v>P2</x:v>
      </x:c>
      <x:c r="B129" s="64" t="str">
        <x:f>IF('국가 데이터'!B173="","",'국가 데이터'!B173)</x:f>
        <x:v>불가리아</x:v>
      </x:c>
      <x:c r="C129" s="64" t="str">
        <x:f>IF('국가 데이터'!F173="","",'국가 데이터'!F173)</x:f>
        <x:v>무사증</x:v>
      </x:c>
      <x:c r="D129" s="64" t="str">
        <x:f>IF('국가 데이터'!G173="","",'국가 데이터'!G173)</x:f>
        <x:v>아니오</x:v>
      </x:c>
      <x:c r="E129" s="64" t="str">
        <x:f>IF('국가 데이터'!K173="","",'국가 데이터'!K173)</x:f>
        <x:v>외교부 기준·갱신 확인 필요</x:v>
      </x:c>
      <x:c r="F129" s="65" t="str">
        <x:f>IF('국가 데이터'!N173="","",'국가 데이터'!N173)</x:f>
      </x:c>
      <x:c r="G129" s="65" t="str">
        <x:f>IF('국가 데이터'!R173="","",'국가 데이터'!R173)</x:f>
      </x:c>
      <x:c r="H129" s="64" t="str">
        <x:v>국가 데이터 173행</x:v>
      </x:c>
    </x:row>
    <x:row r="130">
      <x:c r="A130" s="64" t="str">
        <x:f>IF('국가 데이터'!M20="","",'국가 데이터'!M20)</x:f>
        <x:v>P2</x:v>
      </x:c>
      <x:c r="B130" s="64" t="str">
        <x:f>IF('국가 데이터'!B20="","",'국가 데이터'!B20)</x:f>
        <x:v>브라질</x:v>
      </x:c>
      <x:c r="C130" s="64" t="str">
        <x:f>IF('국가 데이터'!F20="","",'국가 데이터'!F20)</x:f>
        <x:v>무사증</x:v>
      </x:c>
      <x:c r="D130" s="64" t="str">
        <x:f>IF('국가 데이터'!G20="","",'국가 데이터'!G20)</x:f>
        <x:v>아니오</x:v>
      </x:c>
      <x:c r="E130" s="64" t="str">
        <x:f>IF('국가 데이터'!K20="","",'국가 데이터'!K20)</x:f>
        <x:v>외교부 기준·갱신 확인 필요</x:v>
      </x:c>
      <x:c r="F130" s="65" t="str">
        <x:f>IF('국가 데이터'!N20="","",'국가 데이터'!N20)</x:f>
      </x:c>
      <x:c r="G130" s="65" t="str">
        <x:f>IF('국가 데이터'!R20="","",'국가 데이터'!R20)</x:f>
      </x:c>
      <x:c r="H130" s="64" t="str">
        <x:v>국가 데이터 20행</x:v>
      </x:c>
    </x:row>
    <x:row r="131">
      <x:c r="A131" s="64" t="str">
        <x:f>IF('국가 데이터'!M61="","",'국가 데이터'!M61)</x:f>
        <x:v>P2</x:v>
      </x:c>
      <x:c r="B131" s="64" t="str">
        <x:f>IF('국가 데이터'!B61="","",'국가 데이터'!B61)</x:f>
        <x:v>브루나이</x:v>
      </x:c>
      <x:c r="C131" s="64" t="str">
        <x:f>IF('국가 데이터'!F61="","",'국가 데이터'!F61)</x:f>
        <x:v>무사증</x:v>
      </x:c>
      <x:c r="D131" s="64" t="str">
        <x:f>IF('국가 데이터'!G61="","",'국가 데이터'!G61)</x:f>
        <x:v>아니오</x:v>
      </x:c>
      <x:c r="E131" s="64" t="str">
        <x:f>IF('국가 데이터'!K61="","",'국가 데이터'!K61)</x:f>
        <x:v>외교부 기준·갱신 확인 필요</x:v>
      </x:c>
      <x:c r="F131" s="65" t="str">
        <x:f>IF('국가 데이터'!N61="","",'국가 데이터'!N61)</x:f>
      </x:c>
      <x:c r="G131" s="65" t="str">
        <x:f>IF('국가 데이터'!R61="","",'국가 데이터'!R61)</x:f>
      </x:c>
      <x:c r="H131" s="64" t="str">
        <x:v>국가 데이터 61행</x:v>
      </x:c>
    </x:row>
    <x:row r="132">
      <x:c r="A132" s="64" t="str">
        <x:f>IF('국가 데이터'!M62="","",'국가 데이터'!M62)</x:f>
        <x:v>P2</x:v>
      </x:c>
      <x:c r="B132" s="64" t="str">
        <x:f>IF('국가 데이터'!B62="","",'국가 데이터'!B62)</x:f>
        <x:v>사모아</x:v>
      </x:c>
      <x:c r="C132" s="64" t="str">
        <x:f>IF('국가 데이터'!F62="","",'국가 데이터'!F62)</x:f>
        <x:v>무사증</x:v>
      </x:c>
      <x:c r="D132" s="64" t="str">
        <x:f>IF('국가 데이터'!G62="","",'국가 데이터'!G62)</x:f>
        <x:v>아니오</x:v>
      </x:c>
      <x:c r="E132" s="64" t="str">
        <x:f>IF('국가 데이터'!K62="","",'국가 데이터'!K62)</x:f>
        <x:v>외교부 기준·갱신 확인 필요</x:v>
      </x:c>
      <x:c r="F132" s="65" t="str">
        <x:f>IF('국가 데이터'!N62="","",'국가 데이터'!N62)</x:f>
      </x:c>
      <x:c r="G132" s="65" t="str">
        <x:f>IF('국가 데이터'!R62="","",'국가 데이터'!R62)</x:f>
      </x:c>
      <x:c r="H132" s="64" t="str">
        <x:v>국가 데이터 62행</x:v>
      </x:c>
    </x:row>
    <x:row r="133">
      <x:c r="A133" s="64" t="str">
        <x:f>IF('국가 데이터'!M174="","",'국가 데이터'!M174)</x:f>
        <x:v>P2</x:v>
      </x:c>
      <x:c r="B133" s="64" t="str">
        <x:f>IF('국가 데이터'!B174="","",'국가 데이터'!B174)</x:f>
        <x:v>사이프러스 (키프러스)</x:v>
      </x:c>
      <x:c r="C133" s="64" t="str">
        <x:f>IF('국가 데이터'!F174="","",'국가 데이터'!F174)</x:f>
        <x:v>무사증</x:v>
      </x:c>
      <x:c r="D133" s="64" t="str">
        <x:f>IF('국가 데이터'!G174="","",'국가 데이터'!G174)</x:f>
        <x:v>아니오</x:v>
      </x:c>
      <x:c r="E133" s="64" t="str">
        <x:f>IF('국가 데이터'!K174="","",'국가 데이터'!K174)</x:f>
        <x:v>외교부 기준·갱신 확인 필요</x:v>
      </x:c>
      <x:c r="F133" s="65" t="str">
        <x:f>IF('국가 데이터'!N174="","",'국가 데이터'!N174)</x:f>
      </x:c>
      <x:c r="G133" s="65" t="str">
        <x:f>IF('국가 데이터'!R174="","",'국가 데이터'!R174)</x:f>
      </x:c>
      <x:c r="H133" s="64" t="str">
        <x:v>국가 데이터 174행</x:v>
      </x:c>
    </x:row>
    <x:row r="134">
      <x:c r="A134" s="64" t="str">
        <x:f>IF('국가 데이터'!M175="","",'국가 데이터'!M175)</x:f>
        <x:v>P2</x:v>
      </x:c>
      <x:c r="B134" s="64" t="str">
        <x:f>IF('국가 데이터'!B175="","",'국가 데이터'!B175)</x:f>
        <x:v>산마리노</x:v>
      </x:c>
      <x:c r="C134" s="64" t="str">
        <x:f>IF('국가 데이터'!F175="","",'국가 데이터'!F175)</x:f>
        <x:v>무사증</x:v>
      </x:c>
      <x:c r="D134" s="64" t="str">
        <x:f>IF('국가 데이터'!G175="","",'국가 데이터'!G175)</x:f>
        <x:v>아니오</x:v>
      </x:c>
      <x:c r="E134" s="64" t="str">
        <x:f>IF('국가 데이터'!K175="","",'국가 데이터'!K175)</x:f>
        <x:v>외교부 기준·갱신 확인 필요</x:v>
      </x:c>
      <x:c r="F134" s="65" t="str">
        <x:f>IF('국가 데이터'!N175="","",'국가 데이터'!N175)</x:f>
      </x:c>
      <x:c r="G134" s="65" t="str">
        <x:f>IF('국가 데이터'!R175="","",'국가 데이터'!R175)</x:f>
      </x:c>
      <x:c r="H134" s="64" t="str">
        <x:v>국가 데이터 175행</x:v>
      </x:c>
    </x:row>
    <x:row r="135">
      <x:c r="A135" s="64" t="str">
        <x:f>IF('국가 데이터'!M116="","",'국가 데이터'!M116)</x:f>
        <x:v>P2</x:v>
      </x:c>
      <x:c r="B135" s="64" t="str">
        <x:f>IF('국가 데이터'!B116="","",'국가 데이터'!B116)</x:f>
        <x:v>세네갈</x:v>
      </x:c>
      <x:c r="C135" s="64" t="str">
        <x:f>IF('국가 데이터'!F116="","",'국가 데이터'!F116)</x:f>
        <x:v>무사증</x:v>
      </x:c>
      <x:c r="D135" s="64" t="str">
        <x:f>IF('국가 데이터'!G116="","",'국가 데이터'!G116)</x:f>
        <x:v>아니오</x:v>
      </x:c>
      <x:c r="E135" s="64" t="str">
        <x:f>IF('국가 데이터'!K116="","",'국가 데이터'!K116)</x:f>
        <x:v>외교부 기준·갱신 확인 필요</x:v>
      </x:c>
      <x:c r="F135" s="65" t="str">
        <x:f>IF('국가 데이터'!N116="","",'국가 데이터'!N116)</x:f>
      </x:c>
      <x:c r="G135" s="65" t="str">
        <x:f>IF('국가 데이터'!R116="","",'국가 데이터'!R116)</x:f>
      </x:c>
      <x:c r="H135" s="64" t="str">
        <x:v>국가 데이터 116행</x:v>
      </x:c>
    </x:row>
    <x:row r="136">
      <x:c r="A136" s="64" t="str">
        <x:f>IF('국가 데이터'!M176="","",'국가 데이터'!M176)</x:f>
        <x:v>P2</x:v>
      </x:c>
      <x:c r="B136" s="64" t="str">
        <x:f>IF('국가 데이터'!B176="","",'국가 데이터'!B176)</x:f>
        <x:v>세르비아</x:v>
      </x:c>
      <x:c r="C136" s="64" t="str">
        <x:f>IF('국가 데이터'!F176="","",'국가 데이터'!F176)</x:f>
        <x:v>무사증</x:v>
      </x:c>
      <x:c r="D136" s="64" t="str">
        <x:f>IF('국가 데이터'!G176="","",'국가 데이터'!G176)</x:f>
        <x:v>아니오</x:v>
      </x:c>
      <x:c r="E136" s="64" t="str">
        <x:f>IF('국가 데이터'!K176="","",'국가 데이터'!K176)</x:f>
        <x:v>외교부 기준·갱신 확인 필요</x:v>
      </x:c>
      <x:c r="F136" s="65" t="str">
        <x:f>IF('국가 데이터'!N176="","",'국가 데이터'!N176)</x:f>
      </x:c>
      <x:c r="G136" s="65" t="str">
        <x:f>IF('국가 데이터'!R176="","",'국가 데이터'!R176)</x:f>
      </x:c>
      <x:c r="H136" s="64" t="str">
        <x:v>국가 데이터 176행</x:v>
      </x:c>
    </x:row>
    <x:row r="137">
      <x:c r="A137" s="64" t="str">
        <x:f>IF('국가 데이터'!M21="","",'국가 데이터'!M21)</x:f>
        <x:v>P2</x:v>
      </x:c>
      <x:c r="B137" s="64" t="str">
        <x:f>IF('국가 데이터'!B21="","",'국가 데이터'!B21)</x:f>
        <x:v>세인트루시아</x:v>
      </x:c>
      <x:c r="C137" s="64" t="str">
        <x:f>IF('국가 데이터'!F21="","",'국가 데이터'!F21)</x:f>
        <x:v>무사증</x:v>
      </x:c>
      <x:c r="D137" s="64" t="str">
        <x:f>IF('국가 데이터'!G21="","",'국가 데이터'!G21)</x:f>
        <x:v>아니오</x:v>
      </x:c>
      <x:c r="E137" s="64" t="str">
        <x:f>IF('국가 데이터'!K21="","",'국가 데이터'!K21)</x:f>
        <x:v>외교부 기준·갱신 확인 필요</x:v>
      </x:c>
      <x:c r="F137" s="65" t="str">
        <x:f>IF('국가 데이터'!N21="","",'국가 데이터'!N21)</x:f>
      </x:c>
      <x:c r="G137" s="65" t="str">
        <x:f>IF('국가 데이터'!R21="","",'국가 데이터'!R21)</x:f>
      </x:c>
      <x:c r="H137" s="64" t="str">
        <x:v>국가 데이터 21행</x:v>
      </x:c>
    </x:row>
    <x:row r="138">
      <x:c r="A138" s="64" t="str">
        <x:f>IF('국가 데이터'!M22="","",'국가 데이터'!M22)</x:f>
        <x:v>P2</x:v>
      </x:c>
      <x:c r="B138" s="64" t="str">
        <x:f>IF('국가 데이터'!B22="","",'국가 데이터'!B22)</x:f>
        <x:v>세인트빈센트그레나딘</x:v>
      </x:c>
      <x:c r="C138" s="64" t="str">
        <x:f>IF('국가 데이터'!F22="","",'국가 데이터'!F22)</x:f>
        <x:v>무사증</x:v>
      </x:c>
      <x:c r="D138" s="64" t="str">
        <x:f>IF('국가 데이터'!G22="","",'국가 데이터'!G22)</x:f>
        <x:v>아니오</x:v>
      </x:c>
      <x:c r="E138" s="64" t="str">
        <x:f>IF('국가 데이터'!K22="","",'국가 데이터'!K22)</x:f>
        <x:v>외교부 기준·갱신 확인 필요</x:v>
      </x:c>
      <x:c r="F138" s="65" t="str">
        <x:f>IF('국가 데이터'!N22="","",'국가 데이터'!N22)</x:f>
      </x:c>
      <x:c r="G138" s="65" t="str">
        <x:f>IF('국가 데이터'!R22="","",'국가 데이터'!R22)</x:f>
      </x:c>
      <x:c r="H138" s="64" t="str">
        <x:v>국가 데이터 22행</x:v>
      </x:c>
    </x:row>
    <x:row r="139">
      <x:c r="A139" s="64" t="str">
        <x:f>IF('국가 데이터'!M177="","",'국가 데이터'!M177)</x:f>
        <x:v>P2</x:v>
      </x:c>
      <x:c r="B139" s="64" t="str">
        <x:f>IF('국가 데이터'!B177="","",'국가 데이터'!B177)</x:f>
        <x:v>스웨덴</x:v>
      </x:c>
      <x:c r="C139" s="64" t="str">
        <x:f>IF('국가 데이터'!F177="","",'국가 데이터'!F177)</x:f>
        <x:v>무사증</x:v>
      </x:c>
      <x:c r="D139" s="64" t="str">
        <x:f>IF('국가 데이터'!G177="","",'국가 데이터'!G177)</x:f>
        <x:v>아니오</x:v>
      </x:c>
      <x:c r="E139" s="64" t="str">
        <x:f>IF('국가 데이터'!K177="","",'국가 데이터'!K177)</x:f>
        <x:v>외교부 기준·갱신 확인 필요</x:v>
      </x:c>
      <x:c r="F139" s="65" t="str">
        <x:f>IF('국가 데이터'!N177="","",'국가 데이터'!N177)</x:f>
      </x:c>
      <x:c r="G139" s="65" t="str">
        <x:f>IF('국가 데이터'!R177="","",'국가 데이터'!R177)</x:f>
      </x:c>
      <x:c r="H139" s="64" t="str">
        <x:v>국가 데이터 177행</x:v>
      </x:c>
    </x:row>
    <x:row r="140">
      <x:c r="A140" s="64" t="str">
        <x:f>IF('국가 데이터'!M178="","",'국가 데이터'!M178)</x:f>
        <x:v>P2</x:v>
      </x:c>
      <x:c r="B140" s="64" t="str">
        <x:f>IF('국가 데이터'!B178="","",'국가 데이터'!B178)</x:f>
        <x:v>스위스</x:v>
      </x:c>
      <x:c r="C140" s="64" t="str">
        <x:f>IF('국가 데이터'!F178="","",'국가 데이터'!F178)</x:f>
        <x:v>무사증</x:v>
      </x:c>
      <x:c r="D140" s="64" t="str">
        <x:f>IF('국가 데이터'!G178="","",'국가 데이터'!G178)</x:f>
        <x:v>아니오</x:v>
      </x:c>
      <x:c r="E140" s="64" t="str">
        <x:f>IF('국가 데이터'!K178="","",'국가 데이터'!K178)</x:f>
        <x:v>외교부 기준·갱신 확인 필요</x:v>
      </x:c>
      <x:c r="F140" s="65" t="str">
        <x:f>IF('국가 데이터'!N178="","",'국가 데이터'!N178)</x:f>
      </x:c>
      <x:c r="G140" s="65" t="str">
        <x:f>IF('국가 데이터'!R178="","",'국가 데이터'!R178)</x:f>
      </x:c>
      <x:c r="H140" s="64" t="str">
        <x:v>국가 데이터 178행</x:v>
      </x:c>
    </x:row>
    <x:row r="141">
      <x:c r="A141" s="64" t="str">
        <x:f>IF('국가 데이터'!M179="","",'국가 데이터'!M179)</x:f>
        <x:v>P2</x:v>
      </x:c>
      <x:c r="B141" s="64" t="str">
        <x:f>IF('국가 데이터'!B179="","",'국가 데이터'!B179)</x:f>
        <x:v>스페인</x:v>
      </x:c>
      <x:c r="C141" s="64" t="str">
        <x:f>IF('국가 데이터'!F179="","",'국가 데이터'!F179)</x:f>
        <x:v>무사증</x:v>
      </x:c>
      <x:c r="D141" s="64" t="str">
        <x:f>IF('국가 데이터'!G179="","",'국가 데이터'!G179)</x:f>
        <x:v>아니오</x:v>
      </x:c>
      <x:c r="E141" s="64" t="str">
        <x:f>IF('국가 데이터'!K179="","",'국가 데이터'!K179)</x:f>
        <x:v>외교부 기준·갱신 확인 필요</x:v>
      </x:c>
      <x:c r="F141" s="65" t="str">
        <x:f>IF('국가 데이터'!N179="","",'국가 데이터'!N179)</x:f>
      </x:c>
      <x:c r="G141" s="65" t="str">
        <x:f>IF('국가 데이터'!R179="","",'국가 데이터'!R179)</x:f>
      </x:c>
      <x:c r="H141" s="64" t="str">
        <x:v>국가 데이터 179행</x:v>
      </x:c>
    </x:row>
    <x:row r="142">
      <x:c r="A142" s="64" t="str">
        <x:f>IF('국가 데이터'!M180="","",'국가 데이터'!M180)</x:f>
        <x:v>P2</x:v>
      </x:c>
      <x:c r="B142" s="64" t="str">
        <x:f>IF('국가 데이터'!B180="","",'국가 데이터'!B180)</x:f>
        <x:v>슬로바키아</x:v>
      </x:c>
      <x:c r="C142" s="64" t="str">
        <x:f>IF('국가 데이터'!F180="","",'국가 데이터'!F180)</x:f>
        <x:v>무사증</x:v>
      </x:c>
      <x:c r="D142" s="64" t="str">
        <x:f>IF('국가 데이터'!G180="","",'국가 데이터'!G180)</x:f>
        <x:v>아니오</x:v>
      </x:c>
      <x:c r="E142" s="64" t="str">
        <x:f>IF('국가 데이터'!K180="","",'국가 데이터'!K180)</x:f>
        <x:v>외교부 기준·갱신 확인 필요</x:v>
      </x:c>
      <x:c r="F142" s="65" t="str">
        <x:f>IF('국가 데이터'!N180="","",'국가 데이터'!N180)</x:f>
      </x:c>
      <x:c r="G142" s="65" t="str">
        <x:f>IF('국가 데이터'!R180="","",'국가 데이터'!R180)</x:f>
      </x:c>
      <x:c r="H142" s="64" t="str">
        <x:v>국가 데이터 180행</x:v>
      </x:c>
    </x:row>
    <x:row r="143">
      <x:c r="A143" s="64" t="str">
        <x:f>IF('국가 데이터'!M181="","",'국가 데이터'!M181)</x:f>
        <x:v>P2</x:v>
      </x:c>
      <x:c r="B143" s="64" t="str">
        <x:f>IF('국가 데이터'!B181="","",'국가 데이터'!B181)</x:f>
        <x:v>슬로베니아</x:v>
      </x:c>
      <x:c r="C143" s="64" t="str">
        <x:f>IF('국가 데이터'!F181="","",'국가 데이터'!F181)</x:f>
        <x:v>무사증</x:v>
      </x:c>
      <x:c r="D143" s="64" t="str">
        <x:f>IF('국가 데이터'!G181="","",'국가 데이터'!G181)</x:f>
        <x:v>아니오</x:v>
      </x:c>
      <x:c r="E143" s="64" t="str">
        <x:f>IF('국가 데이터'!K181="","",'국가 데이터'!K181)</x:f>
        <x:v>외교부 기준·갱신 확인 필요</x:v>
      </x:c>
      <x:c r="F143" s="65" t="str">
        <x:f>IF('국가 데이터'!N181="","",'국가 데이터'!N181)</x:f>
      </x:c>
      <x:c r="G143" s="65" t="str">
        <x:f>IF('국가 데이터'!R181="","",'국가 데이터'!R181)</x:f>
      </x:c>
      <x:c r="H143" s="64" t="str">
        <x:v>국가 데이터 181행</x:v>
      </x:c>
    </x:row>
    <x:row r="144">
      <x:c r="A144" s="64" t="str">
        <x:f>IF('국가 데이터'!M122="","",'국가 데이터'!M122)</x:f>
        <x:v>P2</x:v>
      </x:c>
      <x:c r="B144" s="64" t="str">
        <x:f>IF('국가 데이터'!B122="","",'국가 데이터'!B122)</x:f>
        <x:v>아랍에미리트</x:v>
      </x:c>
      <x:c r="C144" s="64" t="str">
        <x:f>IF('국가 데이터'!F122="","",'국가 데이터'!F122)</x:f>
        <x:v>무사증</x:v>
      </x:c>
      <x:c r="D144" s="64" t="str">
        <x:f>IF('국가 데이터'!G122="","",'국가 데이터'!G122)</x:f>
        <x:v>아니오</x:v>
      </x:c>
      <x:c r="E144" s="64" t="str">
        <x:f>IF('국가 데이터'!K122="","",'국가 데이터'!K122)</x:f>
        <x:v>외교부 기준·갱신 확인 필요</x:v>
      </x:c>
      <x:c r="F144" s="65" t="str">
        <x:f>IF('국가 데이터'!N122="","",'국가 데이터'!N122)</x:f>
      </x:c>
      <x:c r="G144" s="65" t="str">
        <x:f>IF('국가 데이터'!R122="","",'국가 데이터'!R122)</x:f>
      </x:c>
      <x:c r="H144" s="64" t="str">
        <x:v>국가 데이터 122행</x:v>
      </x:c>
    </x:row>
    <x:row r="145">
      <x:c r="A145" s="64" t="str">
        <x:f>IF('국가 데이터'!M182="","",'국가 데이터'!M182)</x:f>
        <x:v>P2</x:v>
      </x:c>
      <x:c r="B145" s="64" t="str">
        <x:f>IF('국가 데이터'!B182="","",'국가 데이터'!B182)</x:f>
        <x:v>아르메니아</x:v>
      </x:c>
      <x:c r="C145" s="64" t="str">
        <x:f>IF('국가 데이터'!F182="","",'국가 데이터'!F182)</x:f>
        <x:v>무사증</x:v>
      </x:c>
      <x:c r="D145" s="64" t="str">
        <x:f>IF('국가 데이터'!G182="","",'국가 데이터'!G182)</x:f>
        <x:v>아니오</x:v>
      </x:c>
      <x:c r="E145" s="64" t="str">
        <x:f>IF('국가 데이터'!K182="","",'국가 데이터'!K182)</x:f>
        <x:v>외교부 기준·갱신 확인 필요</x:v>
      </x:c>
      <x:c r="F145" s="65" t="str">
        <x:f>IF('국가 데이터'!N182="","",'국가 데이터'!N182)</x:f>
      </x:c>
      <x:c r="G145" s="65" t="str">
        <x:f>IF('국가 데이터'!R182="","",'국가 데이터'!R182)</x:f>
      </x:c>
      <x:c r="H145" s="64" t="str">
        <x:v>국가 데이터 182행</x:v>
      </x:c>
    </x:row>
    <x:row r="146">
      <x:c r="A146" s="64" t="str">
        <x:f>IF('국가 데이터'!M25="","",'국가 데이터'!M25)</x:f>
        <x:v>P2</x:v>
      </x:c>
      <x:c r="B146" s="64" t="str">
        <x:f>IF('국가 데이터'!B25="","",'국가 데이터'!B25)</x:f>
        <x:v>아르헨티나</x:v>
      </x:c>
      <x:c r="C146" s="64" t="str">
        <x:f>IF('국가 데이터'!F25="","",'국가 데이터'!F25)</x:f>
        <x:v>무사증</x:v>
      </x:c>
      <x:c r="D146" s="64" t="str">
        <x:f>IF('국가 데이터'!G25="","",'국가 데이터'!G25)</x:f>
        <x:v>아니오</x:v>
      </x:c>
      <x:c r="E146" s="64" t="str">
        <x:f>IF('국가 데이터'!K25="","",'국가 데이터'!K25)</x:f>
        <x:v>외교부 기준·갱신 확인 필요</x:v>
      </x:c>
      <x:c r="F146" s="65" t="str">
        <x:f>IF('국가 데이터'!N25="","",'국가 데이터'!N25)</x:f>
      </x:c>
      <x:c r="G146" s="65" t="str">
        <x:f>IF('국가 데이터'!R25="","",'국가 데이터'!R25)</x:f>
      </x:c>
      <x:c r="H146" s="64" t="str">
        <x:v>국가 데이터 25행</x:v>
      </x:c>
    </x:row>
    <x:row r="147">
      <x:c r="A147" s="64" t="str">
        <x:f>IF('국가 데이터'!M183="","",'국가 데이터'!M183)</x:f>
        <x:v>P2</x:v>
      </x:c>
      <x:c r="B147" s="64" t="str">
        <x:f>IF('국가 데이터'!B183="","",'국가 데이터'!B183)</x:f>
        <x:v>아이슬란드</x:v>
      </x:c>
      <x:c r="C147" s="64" t="str">
        <x:f>IF('국가 데이터'!F183="","",'국가 데이터'!F183)</x:f>
        <x:v>무사증</x:v>
      </x:c>
      <x:c r="D147" s="64" t="str">
        <x:f>IF('국가 데이터'!G183="","",'국가 데이터'!G183)</x:f>
        <x:v>아니오</x:v>
      </x:c>
      <x:c r="E147" s="64" t="str">
        <x:f>IF('국가 데이터'!K183="","",'국가 데이터'!K183)</x:f>
        <x:v>외교부 기준·갱신 확인 필요</x:v>
      </x:c>
      <x:c r="F147" s="65" t="str">
        <x:f>IF('국가 데이터'!N183="","",'국가 데이터'!N183)</x:f>
      </x:c>
      <x:c r="G147" s="65" t="str">
        <x:f>IF('국가 데이터'!R183="","",'국가 데이터'!R183)</x:f>
      </x:c>
      <x:c r="H147" s="64" t="str">
        <x:v>국가 데이터 183행</x:v>
      </x:c>
    </x:row>
    <x:row r="148">
      <x:c r="A148" s="64" t="str">
        <x:f>IF('국가 데이터'!M26="","",'국가 데이터'!M26)</x:f>
        <x:v>P2</x:v>
      </x:c>
      <x:c r="B148" s="64" t="str">
        <x:f>IF('국가 데이터'!B26="","",'국가 데이터'!B26)</x:f>
        <x:v>아이티공화국</x:v>
      </x:c>
      <x:c r="C148" s="64" t="str">
        <x:f>IF('국가 데이터'!F26="","",'국가 데이터'!F26)</x:f>
        <x:v>무사증</x:v>
      </x:c>
      <x:c r="D148" s="64" t="str">
        <x:f>IF('국가 데이터'!G26="","",'국가 데이터'!G26)</x:f>
        <x:v>아니오</x:v>
      </x:c>
      <x:c r="E148" s="64" t="str">
        <x:f>IF('국가 데이터'!K26="","",'국가 데이터'!K26)</x:f>
        <x:v>외교부 기준·갱신 확인 필요</x:v>
      </x:c>
      <x:c r="F148" s="65" t="str">
        <x:f>IF('국가 데이터'!N26="","",'국가 데이터'!N26)</x:f>
      </x:c>
      <x:c r="G148" s="65" t="str">
        <x:f>IF('국가 데이터'!R26="","",'국가 데이터'!R26)</x:f>
      </x:c>
      <x:c r="H148" s="64" t="str">
        <x:v>국가 데이터 26행</x:v>
      </x:c>
    </x:row>
    <x:row r="149">
      <x:c r="A149" s="64" t="str">
        <x:f>IF('국가 데이터'!M184="","",'국가 데이터'!M184)</x:f>
        <x:v>P2</x:v>
      </x:c>
      <x:c r="B149" s="64" t="str">
        <x:f>IF('국가 데이터'!B184="","",'국가 데이터'!B184)</x:f>
        <x:v>아일랜드</x:v>
      </x:c>
      <x:c r="C149" s="64" t="str">
        <x:f>IF('국가 데이터'!F184="","",'국가 데이터'!F184)</x:f>
        <x:v>무사증</x:v>
      </x:c>
      <x:c r="D149" s="64" t="str">
        <x:f>IF('국가 데이터'!G184="","",'국가 데이터'!G184)</x:f>
        <x:v>아니오</x:v>
      </x:c>
      <x:c r="E149" s="64" t="str">
        <x:f>IF('국가 데이터'!K184="","",'국가 데이터'!K184)</x:f>
        <x:v>외교부 기준·갱신 확인 필요</x:v>
      </x:c>
      <x:c r="F149" s="65" t="str">
        <x:f>IF('국가 데이터'!N184="","",'국가 데이터'!N184)</x:f>
      </x:c>
      <x:c r="G149" s="65" t="str">
        <x:f>IF('국가 데이터'!R184="","",'국가 데이터'!R184)</x:f>
      </x:c>
      <x:c r="H149" s="64" t="str">
        <x:v>국가 데이터 184행</x:v>
      </x:c>
    </x:row>
    <x:row r="150">
      <x:c r="A150" s="64" t="str">
        <x:f>IF('국가 데이터'!M185="","",'국가 데이터'!M185)</x:f>
        <x:v>P2</x:v>
      </x:c>
      <x:c r="B150" s="64" t="str">
        <x:f>IF('국가 데이터'!B185="","",'국가 데이터'!B185)</x:f>
        <x:v>아제르바이잔</x:v>
      </x:c>
      <x:c r="C150" s="64" t="str">
        <x:f>IF('국가 데이터'!F185="","",'국가 데이터'!F185)</x:f>
        <x:v>무사증</x:v>
      </x:c>
      <x:c r="D150" s="64" t="str">
        <x:f>IF('국가 데이터'!G185="","",'국가 데이터'!G185)</x:f>
        <x:v>아니오</x:v>
      </x:c>
      <x:c r="E150" s="64" t="str">
        <x:f>IF('국가 데이터'!K185="","",'국가 데이터'!K185)</x:f>
        <x:v>보조자료 분류·공식 확인 필요</x:v>
      </x:c>
      <x:c r="F150" s="65" t="str">
        <x:f>IF('국가 데이터'!N185="","",'국가 데이터'!N185)</x:f>
      </x:c>
      <x:c r="G150" s="65" t="str">
        <x:f>IF('국가 데이터'!R185="","",'국가 데이터'!R185)</x:f>
        <x:v>2026 보조자료상 무사증; 공식 재확인 필요</x:v>
      </x:c>
      <x:c r="H150" s="64" t="str">
        <x:v>국가 데이터 185행</x:v>
      </x:c>
    </x:row>
    <x:row r="151">
      <x:c r="A151" s="64" t="str">
        <x:f>IF('국가 데이터'!M186="","",'국가 데이터'!M186)</x:f>
        <x:v>P2</x:v>
      </x:c>
      <x:c r="B151" s="64" t="str">
        <x:f>IF('국가 데이터'!B186="","",'국가 데이터'!B186)</x:f>
        <x:v>안도라</x:v>
      </x:c>
      <x:c r="C151" s="64" t="str">
        <x:f>IF('국가 데이터'!F186="","",'국가 데이터'!F186)</x:f>
        <x:v>무사증</x:v>
      </x:c>
      <x:c r="D151" s="64" t="str">
        <x:f>IF('국가 데이터'!G186="","",'국가 데이터'!G186)</x:f>
        <x:v>아니오</x:v>
      </x:c>
      <x:c r="E151" s="64" t="str">
        <x:f>IF('국가 데이터'!K186="","",'국가 데이터'!K186)</x:f>
        <x:v>외교부 기준·갱신 확인 필요</x:v>
      </x:c>
      <x:c r="F151" s="65" t="str">
        <x:f>IF('국가 데이터'!N186="","",'국가 데이터'!N186)</x:f>
      </x:c>
      <x:c r="G151" s="65" t="str">
        <x:f>IF('국가 데이터'!R186="","",'국가 데이터'!R186)</x:f>
      </x:c>
      <x:c r="H151" s="64" t="str">
        <x:v>국가 데이터 186행</x:v>
      </x:c>
    </x:row>
    <x:row r="152">
      <x:c r="A152" s="64" t="str">
        <x:f>IF('국가 데이터'!M27="","",'국가 데이터'!M27)</x:f>
        <x:v>P2</x:v>
      </x:c>
      <x:c r="B152" s="64" t="str">
        <x:f>IF('국가 데이터'!B27="","",'국가 데이터'!B27)</x:f>
        <x:v>안티구아바부다</x:v>
      </x:c>
      <x:c r="C152" s="64" t="str">
        <x:f>IF('국가 데이터'!F27="","",'국가 데이터'!F27)</x:f>
        <x:v>무사증</x:v>
      </x:c>
      <x:c r="D152" s="64" t="str">
        <x:f>IF('국가 데이터'!G27="","",'국가 데이터'!G27)</x:f>
        <x:v>아니오</x:v>
      </x:c>
      <x:c r="E152" s="64" t="str">
        <x:f>IF('국가 데이터'!K27="","",'국가 데이터'!K27)</x:f>
        <x:v>외교부 기준·갱신 확인 필요</x:v>
      </x:c>
      <x:c r="F152" s="65" t="str">
        <x:f>IF('국가 데이터'!N27="","",'국가 데이터'!N27)</x:f>
      </x:c>
      <x:c r="G152" s="65" t="str">
        <x:f>IF('국가 데이터'!R27="","",'국가 데이터'!R27)</x:f>
      </x:c>
      <x:c r="H152" s="64" t="str">
        <x:v>국가 데이터 27행</x:v>
      </x:c>
    </x:row>
    <x:row r="153">
      <x:c r="A153" s="64" t="str">
        <x:f>IF('국가 데이터'!M187="","",'국가 데이터'!M187)</x:f>
        <x:v>P2</x:v>
      </x:c>
      <x:c r="B153" s="64" t="str">
        <x:f>IF('국가 데이터'!B187="","",'국가 데이터'!B187)</x:f>
        <x:v>알바니아</x:v>
      </x:c>
      <x:c r="C153" s="64" t="str">
        <x:f>IF('국가 데이터'!F187="","",'국가 데이터'!F187)</x:f>
        <x:v>무사증</x:v>
      </x:c>
      <x:c r="D153" s="64" t="str">
        <x:f>IF('국가 데이터'!G187="","",'국가 데이터'!G187)</x:f>
        <x:v>아니오</x:v>
      </x:c>
      <x:c r="E153" s="64" t="str">
        <x:f>IF('국가 데이터'!K187="","",'국가 데이터'!K187)</x:f>
        <x:v>외교부 기준·갱신 확인 필요</x:v>
      </x:c>
      <x:c r="F153" s="65" t="str">
        <x:f>IF('국가 데이터'!N187="","",'국가 데이터'!N187)</x:f>
      </x:c>
      <x:c r="G153" s="65" t="str">
        <x:f>IF('국가 데이터'!R187="","",'국가 데이터'!R187)</x:f>
      </x:c>
      <x:c r="H153" s="64" t="str">
        <x:v>국가 데이터 187행</x:v>
      </x:c>
    </x:row>
    <x:row r="154">
      <x:c r="A154" s="64" t="str">
        <x:f>IF('국가 데이터'!M124="","",'국가 데이터'!M124)</x:f>
        <x:v>P2</x:v>
      </x:c>
      <x:c r="B154" s="64" t="str">
        <x:f>IF('국가 데이터'!B124="","",'국가 데이터'!B124)</x:f>
        <x:v>앙골라</x:v>
      </x:c>
      <x:c r="C154" s="64" t="str">
        <x:f>IF('국가 데이터'!F124="","",'국가 데이터'!F124)</x:f>
        <x:v>무사증</x:v>
      </x:c>
      <x:c r="D154" s="64" t="str">
        <x:f>IF('국가 데이터'!G124="","",'국가 데이터'!G124)</x:f>
        <x:v>아니오</x:v>
      </x:c>
      <x:c r="E154" s="64" t="str">
        <x:f>IF('국가 데이터'!K124="","",'국가 데이터'!K124)</x:f>
        <x:v>외교부 기준·갱신 확인 필요</x:v>
      </x:c>
      <x:c r="F154" s="65" t="str">
        <x:f>IF('국가 데이터'!N124="","",'국가 데이터'!N124)</x:f>
      </x:c>
      <x:c r="G154" s="65" t="str">
        <x:f>IF('국가 데이터'!R124="","",'국가 데이터'!R124)</x:f>
      </x:c>
      <x:c r="H154" s="64" t="str">
        <x:v>국가 데이터 124행</x:v>
      </x:c>
    </x:row>
    <x:row r="155">
      <x:c r="A155" s="64" t="str">
        <x:f>IF('국가 데이터'!M126="","",'국가 데이터'!M126)</x:f>
        <x:v>P2</x:v>
      </x:c>
      <x:c r="B155" s="64" t="str">
        <x:f>IF('국가 데이터'!B126="","",'국가 데이터'!B126)</x:f>
        <x:v>에스와티니 (스와질랜드)</x:v>
      </x:c>
      <x:c r="C155" s="64" t="str">
        <x:f>IF('국가 데이터'!F126="","",'국가 데이터'!F126)</x:f>
        <x:v>무사증</x:v>
      </x:c>
      <x:c r="D155" s="64" t="str">
        <x:f>IF('국가 데이터'!G126="","",'국가 데이터'!G126)</x:f>
        <x:v>아니오</x:v>
      </x:c>
      <x:c r="E155" s="64" t="str">
        <x:f>IF('국가 데이터'!K126="","",'국가 데이터'!K126)</x:f>
        <x:v>외교부 기준·갱신 확인 필요</x:v>
      </x:c>
      <x:c r="F155" s="65" t="str">
        <x:f>IF('국가 데이터'!N126="","",'국가 데이터'!N126)</x:f>
      </x:c>
      <x:c r="G155" s="65" t="str">
        <x:f>IF('국가 데이터'!R126="","",'국가 데이터'!R126)</x:f>
      </x:c>
      <x:c r="H155" s="64" t="str">
        <x:v>국가 데이터 126행</x:v>
      </x:c>
    </x:row>
    <x:row r="156">
      <x:c r="A156" s="64" t="str">
        <x:f>IF('국가 데이터'!M188="","",'국가 데이터'!M188)</x:f>
        <x:v>P2</x:v>
      </x:c>
      <x:c r="B156" s="64" t="str">
        <x:f>IF('국가 데이터'!B188="","",'국가 데이터'!B188)</x:f>
        <x:v>에스토니아</x:v>
      </x:c>
      <x:c r="C156" s="64" t="str">
        <x:f>IF('국가 데이터'!F188="","",'국가 데이터'!F188)</x:f>
        <x:v>무사증</x:v>
      </x:c>
      <x:c r="D156" s="64" t="str">
        <x:f>IF('국가 데이터'!G188="","",'국가 데이터'!G188)</x:f>
        <x:v>아니오</x:v>
      </x:c>
      <x:c r="E156" s="64" t="str">
        <x:f>IF('국가 데이터'!K188="","",'국가 데이터'!K188)</x:f>
        <x:v>외교부 기준·갱신 확인 필요</x:v>
      </x:c>
      <x:c r="F156" s="65" t="str">
        <x:f>IF('국가 데이터'!N188="","",'국가 데이터'!N188)</x:f>
      </x:c>
      <x:c r="G156" s="65" t="str">
        <x:f>IF('국가 데이터'!R188="","",'국가 데이터'!R188)</x:f>
      </x:c>
      <x:c r="H156" s="64" t="str">
        <x:v>국가 데이터 188행</x:v>
      </x:c>
    </x:row>
    <x:row r="157">
      <x:c r="A157" s="64" t="str">
        <x:f>IF('국가 데이터'!M28="","",'국가 데이터'!M28)</x:f>
        <x:v>P2</x:v>
      </x:c>
      <x:c r="B157" s="64" t="str">
        <x:f>IF('국가 데이터'!B28="","",'국가 데이터'!B28)</x:f>
        <x:v>에콰도르</x:v>
      </x:c>
      <x:c r="C157" s="64" t="str">
        <x:f>IF('국가 데이터'!F28="","",'국가 데이터'!F28)</x:f>
        <x:v>무사증</x:v>
      </x:c>
      <x:c r="D157" s="64" t="str">
        <x:f>IF('국가 데이터'!G28="","",'국가 데이터'!G28)</x:f>
        <x:v>아니오</x:v>
      </x:c>
      <x:c r="E157" s="64" t="str">
        <x:f>IF('국가 데이터'!K28="","",'국가 데이터'!K28)</x:f>
        <x:v>외교부 기준·갱신 확인 필요</x:v>
      </x:c>
      <x:c r="F157" s="65" t="str">
        <x:f>IF('국가 데이터'!N28="","",'국가 데이터'!N28)</x:f>
      </x:c>
      <x:c r="G157" s="65" t="str">
        <x:f>IF('국가 데이터'!R28="","",'국가 데이터'!R28)</x:f>
      </x:c>
      <x:c r="H157" s="64" t="str">
        <x:v>국가 데이터 28행</x:v>
      </x:c>
    </x:row>
    <x:row r="158">
      <x:c r="A158" s="64" t="str">
        <x:f>IF('국가 데이터'!M29="","",'국가 데이터'!M29)</x:f>
        <x:v>P2</x:v>
      </x:c>
      <x:c r="B158" s="64" t="str">
        <x:f>IF('국가 데이터'!B29="","",'국가 데이터'!B29)</x:f>
        <x:v>엘살바도르</x:v>
      </x:c>
      <x:c r="C158" s="64" t="str">
        <x:f>IF('국가 데이터'!F29="","",'국가 데이터'!F29)</x:f>
        <x:v>무사증</x:v>
      </x:c>
      <x:c r="D158" s="64" t="str">
        <x:f>IF('국가 데이터'!G29="","",'국가 데이터'!G29)</x:f>
        <x:v>아니오</x:v>
      </x:c>
      <x:c r="E158" s="64" t="str">
        <x:f>IF('국가 데이터'!K29="","",'국가 데이터'!K29)</x:f>
        <x:v>외교부 기준·갱신 확인 필요</x:v>
      </x:c>
      <x:c r="F158" s="65" t="str">
        <x:f>IF('국가 데이터'!N29="","",'국가 데이터'!N29)</x:f>
      </x:c>
      <x:c r="G158" s="65" t="str">
        <x:f>IF('국가 데이터'!R29="","",'국가 데이터'!R29)</x:f>
      </x:c>
      <x:c r="H158" s="64" t="str">
        <x:v>국가 데이터 29행</x:v>
      </x:c>
    </x:row>
    <x:row r="159">
      <x:c r="A159" s="64" t="str">
        <x:f>IF('국가 데이터'!M190="","",'국가 데이터'!M190)</x:f>
        <x:v>P2</x:v>
      </x:c>
      <x:c r="B159" s="64" t="str">
        <x:f>IF('국가 데이터'!B190="","",'국가 데이터'!B190)</x:f>
        <x:v>오스트리아</x:v>
      </x:c>
      <x:c r="C159" s="64" t="str">
        <x:f>IF('국가 데이터'!F190="","",'국가 데이터'!F190)</x:f>
        <x:v>무사증</x:v>
      </x:c>
      <x:c r="D159" s="64" t="str">
        <x:f>IF('국가 데이터'!G190="","",'국가 데이터'!G190)</x:f>
        <x:v>아니오</x:v>
      </x:c>
      <x:c r="E159" s="64" t="str">
        <x:f>IF('국가 데이터'!K190="","",'국가 데이터'!K190)</x:f>
        <x:v>외교부 기준·갱신 확인 필요</x:v>
      </x:c>
      <x:c r="F159" s="65" t="str">
        <x:f>IF('국가 데이터'!N190="","",'국가 데이터'!N190)</x:f>
      </x:c>
      <x:c r="G159" s="65" t="str">
        <x:f>IF('국가 데이터'!R190="","",'국가 데이터'!R190)</x:f>
      </x:c>
      <x:c r="H159" s="64" t="str">
        <x:v>국가 데이터 190행</x:v>
      </x:c>
    </x:row>
    <x:row r="160">
      <x:c r="A160" s="64" t="str">
        <x:f>IF('국가 데이터'!M30="","",'국가 데이터'!M30)</x:f>
        <x:v>P2</x:v>
      </x:c>
      <x:c r="B160" s="64" t="str">
        <x:f>IF('국가 데이터'!B30="","",'국가 데이터'!B30)</x:f>
        <x:v>온두라스</x:v>
      </x:c>
      <x:c r="C160" s="64" t="str">
        <x:f>IF('국가 데이터'!F30="","",'국가 데이터'!F30)</x:f>
        <x:v>무사증</x:v>
      </x:c>
      <x:c r="D160" s="64" t="str">
        <x:f>IF('국가 데이터'!G30="","",'국가 데이터'!G30)</x:f>
        <x:v>아니오</x:v>
      </x:c>
      <x:c r="E160" s="64" t="str">
        <x:f>IF('국가 데이터'!K30="","",'국가 데이터'!K30)</x:f>
        <x:v>외교부 기준·갱신 확인 필요</x:v>
      </x:c>
      <x:c r="F160" s="65" t="str">
        <x:f>IF('국가 데이터'!N30="","",'국가 데이터'!N30)</x:f>
      </x:c>
      <x:c r="G160" s="65" t="str">
        <x:f>IF('국가 데이터'!R30="","",'국가 데이터'!R30)</x:f>
      </x:c>
      <x:c r="H160" s="64" t="str">
        <x:v>국가 데이터 30행</x:v>
      </x:c>
    </x:row>
    <x:row r="161">
      <x:c r="A161" s="64" t="str">
        <x:f>IF('국가 데이터'!M31="","",'국가 데이터'!M31)</x:f>
        <x:v>P2</x:v>
      </x:c>
      <x:c r="B161" s="64" t="str">
        <x:f>IF('국가 데이터'!B31="","",'국가 데이터'!B31)</x:f>
        <x:v>우루과이</x:v>
      </x:c>
      <x:c r="C161" s="64" t="str">
        <x:f>IF('국가 데이터'!F31="","",'국가 데이터'!F31)</x:f>
        <x:v>무사증</x:v>
      </x:c>
      <x:c r="D161" s="64" t="str">
        <x:f>IF('국가 데이터'!G31="","",'국가 데이터'!G31)</x:f>
        <x:v>아니오</x:v>
      </x:c>
      <x:c r="E161" s="64" t="str">
        <x:f>IF('국가 데이터'!K31="","",'국가 데이터'!K31)</x:f>
        <x:v>외교부 기준·갱신 확인 필요</x:v>
      </x:c>
      <x:c r="F161" s="65" t="str">
        <x:f>IF('국가 데이터'!N31="","",'국가 데이터'!N31)</x:f>
      </x:c>
      <x:c r="G161" s="65" t="str">
        <x:f>IF('국가 데이터'!R31="","",'국가 데이터'!R31)</x:f>
      </x:c>
      <x:c r="H161" s="64" t="str">
        <x:v>국가 데이터 31행</x:v>
      </x:c>
    </x:row>
    <x:row r="162">
      <x:c r="A162" s="64" t="str">
        <x:f>IF('국가 데이터'!M191="","",'국가 데이터'!M191)</x:f>
        <x:v>P2</x:v>
      </x:c>
      <x:c r="B162" s="64" t="str">
        <x:f>IF('국가 데이터'!B191="","",'국가 데이터'!B191)</x:f>
        <x:v>우즈베키스탄</x:v>
      </x:c>
      <x:c r="C162" s="64" t="str">
        <x:f>IF('국가 데이터'!F191="","",'국가 데이터'!F191)</x:f>
        <x:v>무사증</x:v>
      </x:c>
      <x:c r="D162" s="64" t="str">
        <x:f>IF('국가 데이터'!G191="","",'국가 데이터'!G191)</x:f>
        <x:v>아니오</x:v>
      </x:c>
      <x:c r="E162" s="64" t="str">
        <x:f>IF('국가 데이터'!K191="","",'국가 데이터'!K191)</x:f>
        <x:v>외교부 기준·갱신 확인 필요</x:v>
      </x:c>
      <x:c r="F162" s="65" t="str">
        <x:f>IF('국가 데이터'!N191="","",'국가 데이터'!N191)</x:f>
      </x:c>
      <x:c r="G162" s="65" t="str">
        <x:f>IF('국가 데이터'!R191="","",'국가 데이터'!R191)</x:f>
      </x:c>
      <x:c r="H162" s="64" t="str">
        <x:v>국가 데이터 191행</x:v>
      </x:c>
    </x:row>
    <x:row r="163">
      <x:c r="A163" s="64" t="str">
        <x:f>IF('국가 데이터'!M192="","",'국가 데이터'!M192)</x:f>
        <x:v>P2</x:v>
      </x:c>
      <x:c r="B163" s="64" t="str">
        <x:f>IF('국가 데이터'!B192="","",'국가 데이터'!B192)</x:f>
        <x:v>우크라이나</x:v>
      </x:c>
      <x:c r="C163" s="64" t="str">
        <x:f>IF('국가 데이터'!F192="","",'국가 데이터'!F192)</x:f>
        <x:v>무사증</x:v>
      </x:c>
      <x:c r="D163" s="64" t="str">
        <x:f>IF('국가 데이터'!G192="","",'국가 데이터'!G192)</x:f>
        <x:v>아니오</x:v>
      </x:c>
      <x:c r="E163" s="64" t="str">
        <x:f>IF('국가 데이터'!K192="","",'국가 데이터'!K192)</x:f>
        <x:v>외교부 기준·갱신 확인 필요</x:v>
      </x:c>
      <x:c r="F163" s="65" t="str">
        <x:f>IF('국가 데이터'!N192="","",'국가 데이터'!N192)</x:f>
      </x:c>
      <x:c r="G163" s="65" t="str">
        <x:f>IF('국가 데이터'!R192="","",'국가 데이터'!R192)</x:f>
      </x:c>
      <x:c r="H163" s="64" t="str">
        <x:v>국가 데이터 192행</x:v>
      </x:c>
    </x:row>
    <x:row r="164">
      <x:c r="A164" s="64" t="str">
        <x:f>IF('국가 데이터'!M193="","",'국가 데이터'!M193)</x:f>
        <x:v>P2</x:v>
      </x:c>
      <x:c r="B164" s="64" t="str">
        <x:f>IF('국가 데이터'!B193="","",'국가 데이터'!B193)</x:f>
        <x:v>이탈리아</x:v>
      </x:c>
      <x:c r="C164" s="64" t="str">
        <x:f>IF('국가 데이터'!F193="","",'국가 데이터'!F193)</x:f>
        <x:v>무사증</x:v>
      </x:c>
      <x:c r="D164" s="64" t="str">
        <x:f>IF('국가 데이터'!G193="","",'국가 데이터'!G193)</x:f>
        <x:v>아니오</x:v>
      </x:c>
      <x:c r="E164" s="64" t="str">
        <x:f>IF('국가 데이터'!K193="","",'국가 데이터'!K193)</x:f>
        <x:v>외교부 기준·갱신 확인 필요</x:v>
      </x:c>
      <x:c r="F164" s="65" t="str">
        <x:f>IF('국가 데이터'!N193="","",'국가 데이터'!N193)</x:f>
      </x:c>
      <x:c r="G164" s="65" t="str">
        <x:f>IF('국가 데이터'!R193="","",'국가 데이터'!R193)</x:f>
      </x:c>
      <x:c r="H164" s="64" t="str">
        <x:v>국가 데이터 193행</x:v>
      </x:c>
    </x:row>
    <x:row r="165">
      <x:c r="A165" s="64" t="str">
        <x:f>IF('국가 데이터'!M69="","",'국가 데이터'!M69)</x:f>
        <x:v>P2</x:v>
      </x:c>
      <x:c r="B165" s="64" t="str">
        <x:f>IF('국가 데이터'!B69="","",'국가 데이터'!B69)</x:f>
        <x:v>일본</x:v>
      </x:c>
      <x:c r="C165" s="64" t="str">
        <x:f>IF('국가 데이터'!F69="","",'국가 데이터'!F69)</x:f>
        <x:v>무사증</x:v>
      </x:c>
      <x:c r="D165" s="64" t="str">
        <x:f>IF('국가 데이터'!G69="","",'국가 데이터'!G69)</x:f>
        <x:v>아니오</x:v>
      </x:c>
      <x:c r="E165" s="64" t="str">
        <x:f>IF('국가 데이터'!K69="","",'국가 데이터'!K69)</x:f>
        <x:v>외교부 기준·갱신 확인 필요</x:v>
      </x:c>
      <x:c r="F165" s="65" t="str">
        <x:f>IF('국가 데이터'!N69="","",'국가 데이터'!N69)</x:f>
      </x:c>
      <x:c r="G165" s="65" t="str">
        <x:f>IF('국가 데이터'!R69="","",'국가 데이터'!R69)</x:f>
      </x:c>
      <x:c r="H165" s="64" t="str">
        <x:v>국가 데이터 69행</x:v>
      </x:c>
    </x:row>
    <x:row r="166">
      <x:c r="A166" s="64" t="str">
        <x:f>IF('국가 데이터'!M32="","",'국가 데이터'!M32)</x:f>
        <x:v>P2</x:v>
      </x:c>
      <x:c r="B166" s="64" t="str">
        <x:f>IF('국가 데이터'!B32="","",'국가 데이터'!B32)</x:f>
        <x:v>자메이카</x:v>
      </x:c>
      <x:c r="C166" s="64" t="str">
        <x:f>IF('국가 데이터'!F32="","",'국가 데이터'!F32)</x:f>
        <x:v>무사증</x:v>
      </x:c>
      <x:c r="D166" s="64" t="str">
        <x:f>IF('국가 데이터'!G32="","",'국가 데이터'!G32)</x:f>
        <x:v>아니오</x:v>
      </x:c>
      <x:c r="E166" s="64" t="str">
        <x:f>IF('국가 데이터'!K32="","",'국가 데이터'!K32)</x:f>
        <x:v>외교부 기준·갱신 확인 필요</x:v>
      </x:c>
      <x:c r="F166" s="65" t="str">
        <x:f>IF('국가 데이터'!N32="","",'국가 데이터'!N32)</x:f>
      </x:c>
      <x:c r="G166" s="65" t="str">
        <x:f>IF('국가 데이터'!R32="","",'국가 데이터'!R32)</x:f>
      </x:c>
      <x:c r="H166" s="64" t="str">
        <x:v>국가 데이터 32행</x:v>
      </x:c>
    </x:row>
    <x:row r="167">
      <x:c r="A167" s="64" t="str">
        <x:f>IF('국가 데이터'!M137="","",'국가 데이터'!M137)</x:f>
        <x:v>P2</x:v>
      </x:c>
      <x:c r="B167" s="64" t="str">
        <x:f>IF('국가 데이터'!B137="","",'국가 데이터'!B137)</x:f>
        <x:v>잠비아</x:v>
      </x:c>
      <x:c r="C167" s="64" t="str">
        <x:f>IF('국가 데이터'!F137="","",'국가 데이터'!F137)</x:f>
        <x:v>무사증</x:v>
      </x:c>
      <x:c r="D167" s="64" t="str">
        <x:f>IF('국가 데이터'!G137="","",'국가 데이터'!G137)</x:f>
        <x:v>아니오</x:v>
      </x:c>
      <x:c r="E167" s="64" t="str">
        <x:f>IF('국가 데이터'!K137="","",'국가 데이터'!K137)</x:f>
        <x:v>외교부 기준·갱신 확인 필요</x:v>
      </x:c>
      <x:c r="F167" s="65" t="str">
        <x:f>IF('국가 데이터'!N137="","",'국가 데이터'!N137)</x:f>
      </x:c>
      <x:c r="G167" s="65" t="str">
        <x:f>IF('국가 데이터'!R137="","",'국가 데이터'!R137)</x:f>
      </x:c>
      <x:c r="H167" s="64" t="str">
        <x:v>국가 데이터 137행</x:v>
      </x:c>
    </x:row>
    <x:row r="168">
      <x:c r="A168" s="64" t="str">
        <x:f>IF('국가 데이터'!M194="","",'국가 데이터'!M194)</x:f>
        <x:v>P2</x:v>
      </x:c>
      <x:c r="B168" s="64" t="str">
        <x:f>IF('국가 데이터'!B194="","",'국가 데이터'!B194)</x:f>
        <x:v>조지아</x:v>
      </x:c>
      <x:c r="C168" s="64" t="str">
        <x:f>IF('국가 데이터'!F194="","",'국가 데이터'!F194)</x:f>
        <x:v>무사증</x:v>
      </x:c>
      <x:c r="D168" s="64" t="str">
        <x:f>IF('국가 데이터'!G194="","",'국가 데이터'!G194)</x:f>
        <x:v>아니오</x:v>
      </x:c>
      <x:c r="E168" s="64" t="str">
        <x:f>IF('국가 데이터'!K194="","",'국가 데이터'!K194)</x:f>
        <x:v>외교부 기준·갱신 확인 필요</x:v>
      </x:c>
      <x:c r="F168" s="65" t="str">
        <x:f>IF('국가 데이터'!N194="","",'국가 데이터'!N194)</x:f>
      </x:c>
      <x:c r="G168" s="65" t="str">
        <x:f>IF('국가 데이터'!R194="","",'국가 데이터'!R194)</x:f>
      </x:c>
      <x:c r="H168" s="64" t="str">
        <x:v>국가 데이터 194행</x:v>
      </x:c>
    </x:row>
    <x:row r="169">
      <x:c r="A169" s="64" t="str">
        <x:f>IF('국가 데이터'!M195="","",'국가 데이터'!M195)</x:f>
        <x:v>P2</x:v>
      </x:c>
      <x:c r="B169" s="64" t="str">
        <x:f>IF('국가 데이터'!B195="","",'국가 데이터'!B195)</x:f>
        <x:v>체코</x:v>
      </x:c>
      <x:c r="C169" s="64" t="str">
        <x:f>IF('국가 데이터'!F195="","",'국가 데이터'!F195)</x:f>
        <x:v>무사증</x:v>
      </x:c>
      <x:c r="D169" s="64" t="str">
        <x:f>IF('국가 데이터'!G195="","",'국가 데이터'!G195)</x:f>
        <x:v>아니오</x:v>
      </x:c>
      <x:c r="E169" s="64" t="str">
        <x:f>IF('국가 데이터'!K195="","",'국가 데이터'!K195)</x:f>
        <x:v>외교부 기준·갱신 확인 필요</x:v>
      </x:c>
      <x:c r="F169" s="65" t="str">
        <x:f>IF('국가 데이터'!N195="","",'국가 데이터'!N195)</x:f>
      </x:c>
      <x:c r="G169" s="65" t="str">
        <x:f>IF('국가 데이터'!R195="","",'국가 데이터'!R195)</x:f>
      </x:c>
      <x:c r="H169" s="64" t="str">
        <x:v>국가 데이터 195행</x:v>
      </x:c>
    </x:row>
    <x:row r="170">
      <x:c r="A170" s="64" t="str">
        <x:f>IF('국가 데이터'!M33="","",'국가 데이터'!M33)</x:f>
        <x:v>P2</x:v>
      </x:c>
      <x:c r="B170" s="64" t="str">
        <x:f>IF('국가 데이터'!B33="","",'국가 데이터'!B33)</x:f>
        <x:v>칠레</x:v>
      </x:c>
      <x:c r="C170" s="64" t="str">
        <x:f>IF('국가 데이터'!F33="","",'국가 데이터'!F33)</x:f>
        <x:v>무사증</x:v>
      </x:c>
      <x:c r="D170" s="64" t="str">
        <x:f>IF('국가 데이터'!G33="","",'국가 데이터'!G33)</x:f>
        <x:v>아니오</x:v>
      </x:c>
      <x:c r="E170" s="64" t="str">
        <x:f>IF('국가 데이터'!K33="","",'국가 데이터'!K33)</x:f>
        <x:v>외교부 기준·갱신 확인 필요</x:v>
      </x:c>
      <x:c r="F170" s="65" t="str">
        <x:f>IF('국가 데이터'!N33="","",'국가 데이터'!N33)</x:f>
      </x:c>
      <x:c r="G170" s="65" t="str">
        <x:f>IF('국가 데이터'!R33="","",'국가 데이터'!R33)</x:f>
      </x:c>
      <x:c r="H170" s="64" t="str">
        <x:v>국가 데이터 33행</x:v>
      </x:c>
    </x:row>
    <x:row r="171">
      <x:c r="A171" s="64" t="str">
        <x:f>IF('국가 데이터'!M71="","",'국가 데이터'!M71)</x:f>
        <x:v>P2</x:v>
      </x:c>
      <x:c r="B171" s="64" t="str">
        <x:f>IF('국가 데이터'!B71="","",'국가 데이터'!B71)</x:f>
        <x:v>카자흐스탄</x:v>
      </x:c>
      <x:c r="C171" s="64" t="str">
        <x:f>IF('국가 데이터'!F71="","",'국가 데이터'!F71)</x:f>
        <x:v>무사증</x:v>
      </x:c>
      <x:c r="D171" s="64" t="str">
        <x:f>IF('국가 데이터'!G71="","",'국가 데이터'!G71)</x:f>
        <x:v>아니오</x:v>
      </x:c>
      <x:c r="E171" s="64" t="str">
        <x:f>IF('국가 데이터'!K71="","",'국가 데이터'!K71)</x:f>
        <x:v>외교부 기준·갱신 확인 필요</x:v>
      </x:c>
      <x:c r="F171" s="65" t="str">
        <x:f>IF('국가 데이터'!N71="","",'국가 데이터'!N71)</x:f>
      </x:c>
      <x:c r="G171" s="65" t="str">
        <x:f>IF('국가 데이터'!R71="","",'국가 데이터'!R71)</x:f>
        <x:v>일반여권 소지자 : * 최초 입국일 기준 180일 중 60일 초과 불가 2026.1월부터 카자흐스탄 전자여행허가제(QazETA) 시범운영 개시</x:v>
      </x:c>
      <x:c r="H171" s="64" t="str">
        <x:v>국가 데이터 71행</x:v>
      </x:c>
    </x:row>
    <x:row r="172">
      <x:c r="A172" s="64" t="str">
        <x:f>IF('국가 데이터'!M196="","",'국가 데이터'!M196)</x:f>
        <x:v>P2</x:v>
      </x:c>
      <x:c r="B172" s="64" t="str">
        <x:f>IF('국가 데이터'!B196="","",'국가 데이터'!B196)</x:f>
        <x:v>코소보</x:v>
      </x:c>
      <x:c r="C172" s="64" t="str">
        <x:f>IF('국가 데이터'!F196="","",'국가 데이터'!F196)</x:f>
        <x:v>무사증</x:v>
      </x:c>
      <x:c r="D172" s="64" t="str">
        <x:f>IF('국가 데이터'!G196="","",'국가 데이터'!G196)</x:f>
        <x:v>아니오</x:v>
      </x:c>
      <x:c r="E172" s="64" t="str">
        <x:f>IF('국가 데이터'!K196="","",'국가 데이터'!K196)</x:f>
        <x:v>외교부 기준·갱신 확인 필요</x:v>
      </x:c>
      <x:c r="F172" s="65" t="str">
        <x:f>IF('국가 데이터'!N196="","",'국가 데이터'!N196)</x:f>
      </x:c>
      <x:c r="G172" s="65" t="str">
        <x:f>IF('국가 데이터'!R196="","",'국가 데이터'!R196)</x:f>
      </x:c>
      <x:c r="H172" s="64" t="str">
        <x:v>국가 데이터 196행</x:v>
      </x:c>
    </x:row>
    <x:row r="173">
      <x:c r="A173" s="64" t="str">
        <x:f>IF('국가 데이터'!M35="","",'국가 데이터'!M35)</x:f>
        <x:v>P2</x:v>
      </x:c>
      <x:c r="B173" s="64" t="str">
        <x:f>IF('국가 데이터'!B35="","",'국가 데이터'!B35)</x:f>
        <x:v>코스타리카</x:v>
      </x:c>
      <x:c r="C173" s="64" t="str">
        <x:f>IF('국가 데이터'!F35="","",'국가 데이터'!F35)</x:f>
        <x:v>무사증</x:v>
      </x:c>
      <x:c r="D173" s="64" t="str">
        <x:f>IF('국가 데이터'!G35="","",'국가 데이터'!G35)</x:f>
        <x:v>아니오</x:v>
      </x:c>
      <x:c r="E173" s="64" t="str">
        <x:f>IF('국가 데이터'!K35="","",'국가 데이터'!K35)</x:f>
        <x:v>외교부 기준·갱신 확인 필요</x:v>
      </x:c>
      <x:c r="F173" s="65" t="str">
        <x:f>IF('국가 데이터'!N35="","",'국가 데이터'!N35)</x:f>
      </x:c>
      <x:c r="G173" s="65" t="str">
        <x:f>IF('국가 데이터'!R35="","",'국가 데이터'!R35)</x:f>
      </x:c>
      <x:c r="H173" s="64" t="str">
        <x:v>국가 데이터 35행</x:v>
      </x:c>
    </x:row>
    <x:row r="174">
      <x:c r="A174" s="64" t="str">
        <x:f>IF('국가 데이터'!M36="","",'국가 데이터'!M36)</x:f>
        <x:v>P2</x:v>
      </x:c>
      <x:c r="B174" s="64" t="str">
        <x:f>IF('국가 데이터'!B36="","",'국가 데이터'!B36)</x:f>
        <x:v>콜롬비아</x:v>
      </x:c>
      <x:c r="C174" s="64" t="str">
        <x:f>IF('국가 데이터'!F36="","",'국가 데이터'!F36)</x:f>
        <x:v>무사증</x:v>
      </x:c>
      <x:c r="D174" s="64" t="str">
        <x:f>IF('국가 데이터'!G36="","",'국가 데이터'!G36)</x:f>
        <x:v>아니오</x:v>
      </x:c>
      <x:c r="E174" s="64" t="str">
        <x:f>IF('국가 데이터'!K36="","",'국가 데이터'!K36)</x:f>
        <x:v>외교부 기준·갱신 확인 필요</x:v>
      </x:c>
      <x:c r="F174" s="65" t="str">
        <x:f>IF('국가 데이터'!N36="","",'국가 데이터'!N36)</x:f>
      </x:c>
      <x:c r="G174" s="65" t="str">
        <x:f>IF('국가 데이터'!R36="","",'국가 데이터'!R36)</x:f>
      </x:c>
      <x:c r="H174" s="64" t="str">
        <x:v>국가 데이터 36행</x:v>
      </x:c>
    </x:row>
    <x:row r="175">
      <x:c r="A175" s="64" t="str">
        <x:f>IF('국가 데이터'!M73="","",'국가 데이터'!M73)</x:f>
        <x:v>P2</x:v>
      </x:c>
      <x:c r="B175" s="64" t="str">
        <x:f>IF('국가 데이터'!B73="","",'국가 데이터'!B73)</x:f>
        <x:v>쿡제도</x:v>
      </x:c>
      <x:c r="C175" s="64" t="str">
        <x:f>IF('국가 데이터'!F73="","",'국가 데이터'!F73)</x:f>
        <x:v>무사증</x:v>
      </x:c>
      <x:c r="D175" s="64" t="str">
        <x:f>IF('국가 데이터'!G73="","",'국가 데이터'!G73)</x:f>
        <x:v>아니오</x:v>
      </x:c>
      <x:c r="E175" s="64" t="str">
        <x:f>IF('국가 데이터'!K73="","",'국가 데이터'!K73)</x:f>
        <x:v>외교부 기준·갱신 확인 필요</x:v>
      </x:c>
      <x:c r="F175" s="65" t="str">
        <x:f>IF('국가 데이터'!N73="","",'국가 데이터'!N73)</x:f>
      </x:c>
      <x:c r="G175" s="65" t="str">
        <x:f>IF('국가 데이터'!R73="","",'국가 데이터'!R73)</x:f>
      </x:c>
      <x:c r="H175" s="64" t="str">
        <x:v>국가 데이터 73행</x:v>
      </x:c>
    </x:row>
    <x:row r="176">
      <x:c r="A176" s="64" t="str">
        <x:f>IF('국가 데이터'!M197="","",'국가 데이터'!M197)</x:f>
        <x:v>P2</x:v>
      </x:c>
      <x:c r="B176" s="64" t="str">
        <x:f>IF('국가 데이터'!B197="","",'국가 데이터'!B197)</x:f>
        <x:v>크로아티아</x:v>
      </x:c>
      <x:c r="C176" s="64" t="str">
        <x:f>IF('국가 데이터'!F197="","",'국가 데이터'!F197)</x:f>
        <x:v>무사증</x:v>
      </x:c>
      <x:c r="D176" s="64" t="str">
        <x:f>IF('국가 데이터'!G197="","",'국가 데이터'!G197)</x:f>
        <x:v>아니오</x:v>
      </x:c>
      <x:c r="E176" s="64" t="str">
        <x:f>IF('국가 데이터'!K197="","",'국가 데이터'!K197)</x:f>
        <x:v>외교부 기준·갱신 확인 필요</x:v>
      </x:c>
      <x:c r="F176" s="65" t="str">
        <x:f>IF('국가 데이터'!N197="","",'국가 데이터'!N197)</x:f>
      </x:c>
      <x:c r="G176" s="65" t="str">
        <x:f>IF('국가 데이터'!R197="","",'국가 데이터'!R197)</x:f>
      </x:c>
      <x:c r="H176" s="64" t="str">
        <x:v>국가 데이터 197행</x:v>
      </x:c>
    </x:row>
    <x:row r="177">
      <x:c r="A177" s="64" t="str">
        <x:f>IF('국가 데이터'!M74="","",'국가 데이터'!M74)</x:f>
        <x:v>P2</x:v>
      </x:c>
      <x:c r="B177" s="64" t="str">
        <x:f>IF('국가 데이터'!B74="","",'국가 데이터'!B74)</x:f>
        <x:v>키르기스스탄 (키르기즈공화국)</x:v>
      </x:c>
      <x:c r="C177" s="64" t="str">
        <x:f>IF('국가 데이터'!F74="","",'국가 데이터'!F74)</x:f>
        <x:v>무사증</x:v>
      </x:c>
      <x:c r="D177" s="64" t="str">
        <x:f>IF('국가 데이터'!G74="","",'국가 데이터'!G74)</x:f>
        <x:v>아니오</x:v>
      </x:c>
      <x:c r="E177" s="64" t="str">
        <x:f>IF('국가 데이터'!K74="","",'국가 데이터'!K74)</x:f>
        <x:v>외교부 기준·갱신 확인 필요</x:v>
      </x:c>
      <x:c r="F177" s="65" t="str">
        <x:f>IF('국가 데이터'!N74="","",'국가 데이터'!N74)</x:f>
      </x:c>
      <x:c r="G177" s="65" t="str">
        <x:f>IF('국가 데이터'!R74="","",'국가 데이터'!R74)</x:f>
      </x:c>
      <x:c r="H177" s="64" t="str">
        <x:v>국가 데이터 74행</x:v>
      </x:c>
    </x:row>
    <x:row r="178">
      <x:c r="A178" s="64" t="str">
        <x:f>IF('국가 데이터'!M75="","",'국가 데이터'!M75)</x:f>
        <x:v>P2</x:v>
      </x:c>
      <x:c r="B178" s="64" t="str">
        <x:f>IF('국가 데이터'!B75="","",'국가 데이터'!B75)</x:f>
        <x:v>키리바시</x:v>
      </x:c>
      <x:c r="C178" s="64" t="str">
        <x:f>IF('국가 데이터'!F75="","",'국가 데이터'!F75)</x:f>
        <x:v>무사증</x:v>
      </x:c>
      <x:c r="D178" s="64" t="str">
        <x:f>IF('국가 데이터'!G75="","",'국가 데이터'!G75)</x:f>
        <x:v>아니오</x:v>
      </x:c>
      <x:c r="E178" s="64" t="str">
        <x:f>IF('국가 데이터'!K75="","",'국가 데이터'!K75)</x:f>
        <x:v>외교부 기준·갱신 확인 필요</x:v>
      </x:c>
      <x:c r="F178" s="65" t="str">
        <x:f>IF('국가 데이터'!N75="","",'국가 데이터'!N75)</x:f>
      </x:c>
      <x:c r="G178" s="65" t="str">
        <x:f>IF('국가 데이터'!R75="","",'국가 데이터'!R75)</x:f>
      </x:c>
      <x:c r="H178" s="64" t="str">
        <x:v>국가 데이터 75행</x:v>
      </x:c>
    </x:row>
    <x:row r="179">
      <x:c r="A179" s="64" t="str">
        <x:f>IF('국가 데이터'!M76="","",'국가 데이터'!M76)</x:f>
        <x:v>P2</x:v>
      </x:c>
      <x:c r="B179" s="64" t="str">
        <x:f>IF('국가 데이터'!B76="","",'국가 데이터'!B76)</x:f>
        <x:v>타지키스탄</x:v>
      </x:c>
      <x:c r="C179" s="64" t="str">
        <x:f>IF('국가 데이터'!F76="","",'국가 데이터'!F76)</x:f>
        <x:v>무사증</x:v>
      </x:c>
      <x:c r="D179" s="64" t="str">
        <x:f>IF('국가 데이터'!G76="","",'국가 데이터'!G76)</x:f>
        <x:v>아니오</x:v>
      </x:c>
      <x:c r="E179" s="64" t="str">
        <x:f>IF('국가 데이터'!K76="","",'국가 데이터'!K76)</x:f>
        <x:v>외교부 기준·갱신 확인 필요</x:v>
      </x:c>
      <x:c r="F179" s="65" t="str">
        <x:f>IF('국가 데이터'!N76="","",'국가 데이터'!N76)</x:f>
      </x:c>
      <x:c r="G179" s="65" t="str">
        <x:f>IF('국가 데이터'!R76="","",'국가 데이터'!R76)</x:f>
      </x:c>
      <x:c r="H179" s="64" t="str">
        <x:v>국가 데이터 76행</x:v>
      </x:c>
    </x:row>
    <x:row r="180">
      <x:c r="A180" s="64" t="str">
        <x:f>IF('국가 데이터'!M78="","",'국가 데이터'!M78)</x:f>
        <x:v>P2</x:v>
      </x:c>
      <x:c r="B180" s="64" t="str">
        <x:f>IF('국가 데이터'!B78="","",'국가 데이터'!B78)</x:f>
        <x:v>통가</x:v>
      </x:c>
      <x:c r="C180" s="64" t="str">
        <x:f>IF('국가 데이터'!F78="","",'국가 데이터'!F78)</x:f>
        <x:v>무사증</x:v>
      </x:c>
      <x:c r="D180" s="64" t="str">
        <x:f>IF('국가 데이터'!G78="","",'국가 데이터'!G78)</x:f>
        <x:v>아니오</x:v>
      </x:c>
      <x:c r="E180" s="64" t="str">
        <x:f>IF('국가 데이터'!K78="","",'국가 데이터'!K78)</x:f>
        <x:v>외교부 기준·갱신 확인 필요</x:v>
      </x:c>
      <x:c r="F180" s="65" t="str">
        <x:f>IF('국가 데이터'!N78="","",'국가 데이터'!N78)</x:f>
      </x:c>
      <x:c r="G180" s="65" t="str">
        <x:f>IF('국가 데이터'!R78="","",'국가 데이터'!R78)</x:f>
      </x:c>
      <x:c r="H180" s="64" t="str">
        <x:v>국가 데이터 78행</x:v>
      </x:c>
    </x:row>
    <x:row r="181">
      <x:c r="A181" s="64" t="str">
        <x:f>IF('국가 데이터'!M80="","",'국가 데이터'!M80)</x:f>
        <x:v>P2</x:v>
      </x:c>
      <x:c r="B181" s="64" t="str">
        <x:f>IF('국가 데이터'!B80="","",'국가 데이터'!B80)</x:f>
        <x:v>투발루</x:v>
      </x:c>
      <x:c r="C181" s="64" t="str">
        <x:f>IF('국가 데이터'!F80="","",'국가 데이터'!F80)</x:f>
        <x:v>무사증</x:v>
      </x:c>
      <x:c r="D181" s="64" t="str">
        <x:f>IF('국가 데이터'!G80="","",'국가 데이터'!G80)</x:f>
        <x:v>아니오</x:v>
      </x:c>
      <x:c r="E181" s="64" t="str">
        <x:f>IF('국가 데이터'!K80="","",'국가 데이터'!K80)</x:f>
        <x:v>외교부 기준·갱신 확인 필요</x:v>
      </x:c>
      <x:c r="F181" s="65" t="str">
        <x:f>IF('국가 데이터'!N80="","",'국가 데이터'!N80)</x:f>
      </x:c>
      <x:c r="G181" s="65" t="str">
        <x:f>IF('국가 데이터'!R80="","",'국가 데이터'!R80)</x:f>
      </x:c>
      <x:c r="H181" s="64" t="str">
        <x:v>국가 데이터 80행</x:v>
      </x:c>
    </x:row>
    <x:row r="182">
      <x:c r="A182" s="64" t="str">
        <x:f>IF('국가 데이터'!M154="","",'국가 데이터'!M154)</x:f>
        <x:v>P2</x:v>
      </x:c>
      <x:c r="B182" s="64" t="str">
        <x:f>IF('국가 데이터'!B154="","",'국가 데이터'!B154)</x:f>
        <x:v>튀니지</x:v>
      </x:c>
      <x:c r="C182" s="64" t="str">
        <x:f>IF('국가 데이터'!F154="","",'국가 데이터'!F154)</x:f>
        <x:v>무사증</x:v>
      </x:c>
      <x:c r="D182" s="64" t="str">
        <x:f>IF('국가 데이터'!G154="","",'국가 데이터'!G154)</x:f>
        <x:v>아니오</x:v>
      </x:c>
      <x:c r="E182" s="64" t="str">
        <x:f>IF('국가 데이터'!K154="","",'국가 데이터'!K154)</x:f>
        <x:v>외교부 기준·갱신 확인 필요</x:v>
      </x:c>
      <x:c r="F182" s="65" t="str">
        <x:f>IF('국가 데이터'!N154="","",'국가 데이터'!N154)</x:f>
      </x:c>
      <x:c r="G182" s="65" t="str">
        <x:f>IF('국가 데이터'!R154="","",'국가 데이터'!R154)</x:f>
      </x:c>
      <x:c r="H182" s="64" t="str">
        <x:v>국가 데이터 154행</x:v>
      </x:c>
    </x:row>
    <x:row r="183">
      <x:c r="A183" s="64" t="str">
        <x:f>IF('국가 데이터'!M198="","",'국가 데이터'!M198)</x:f>
        <x:v>P2</x:v>
      </x:c>
      <x:c r="B183" s="64" t="str">
        <x:f>IF('국가 데이터'!B198="","",'국가 데이터'!B198)</x:f>
        <x:v>튀르키예</x:v>
      </x:c>
      <x:c r="C183" s="64" t="str">
        <x:f>IF('국가 데이터'!F198="","",'국가 데이터'!F198)</x:f>
        <x:v>무사증</x:v>
      </x:c>
      <x:c r="D183" s="64" t="str">
        <x:f>IF('국가 데이터'!G198="","",'국가 데이터'!G198)</x:f>
        <x:v>아니오</x:v>
      </x:c>
      <x:c r="E183" s="64" t="str">
        <x:f>IF('국가 데이터'!K198="","",'국가 데이터'!K198)</x:f>
        <x:v>외교부 기준·갱신 확인 필요</x:v>
      </x:c>
      <x:c r="F183" s="65" t="str">
        <x:f>IF('국가 데이터'!N198="","",'국가 데이터'!N198)</x:f>
      </x:c>
      <x:c r="G183" s="65" t="str">
        <x:f>IF('국가 데이터'!R198="","",'국가 데이터'!R198)</x:f>
      </x:c>
      <x:c r="H183" s="64" t="str">
        <x:v>국가 데이터 198행</x:v>
      </x:c>
    </x:row>
    <x:row r="184">
      <x:c r="A184" s="64" t="str">
        <x:f>IF('국가 데이터'!M38="","",'국가 데이터'!M38)</x:f>
        <x:v>P2</x:v>
      </x:c>
      <x:c r="B184" s="64" t="str">
        <x:f>IF('국가 데이터'!B38="","",'국가 데이터'!B38)</x:f>
        <x:v>트리니다드토바고</x:v>
      </x:c>
      <x:c r="C184" s="64" t="str">
        <x:f>IF('국가 데이터'!F38="","",'국가 데이터'!F38)</x:f>
        <x:v>무사증</x:v>
      </x:c>
      <x:c r="D184" s="64" t="str">
        <x:f>IF('국가 데이터'!G38="","",'국가 데이터'!G38)</x:f>
        <x:v>아니오</x:v>
      </x:c>
      <x:c r="E184" s="64" t="str">
        <x:f>IF('국가 데이터'!K38="","",'국가 데이터'!K38)</x:f>
        <x:v>외교부 기준·갱신 확인 필요</x:v>
      </x:c>
      <x:c r="F184" s="65" t="str">
        <x:f>IF('국가 데이터'!N38="","",'국가 데이터'!N38)</x:f>
      </x:c>
      <x:c r="G184" s="65" t="str">
        <x:f>IF('국가 데이터'!R38="","",'국가 데이터'!R38)</x:f>
      </x:c>
      <x:c r="H184" s="64" t="str">
        <x:v>국가 데이터 38행</x:v>
      </x:c>
    </x:row>
    <x:row r="185">
      <x:c r="A185" s="64" t="str">
        <x:f>IF('국가 데이터'!M39="","",'국가 데이터'!M39)</x:f>
        <x:v>P2</x:v>
      </x:c>
      <x:c r="B185" s="64" t="str">
        <x:f>IF('국가 데이터'!B39="","",'국가 데이터'!B39)</x:f>
        <x:v>파나마</x:v>
      </x:c>
      <x:c r="C185" s="64" t="str">
        <x:f>IF('국가 데이터'!F39="","",'국가 데이터'!F39)</x:f>
        <x:v>무사증</x:v>
      </x:c>
      <x:c r="D185" s="64" t="str">
        <x:f>IF('국가 데이터'!G39="","",'국가 데이터'!G39)</x:f>
        <x:v>아니오</x:v>
      </x:c>
      <x:c r="E185" s="64" t="str">
        <x:f>IF('국가 데이터'!K39="","",'국가 데이터'!K39)</x:f>
        <x:v>외교부 기준·갱신 확인 필요</x:v>
      </x:c>
      <x:c r="F185" s="65" t="str">
        <x:f>IF('국가 데이터'!N39="","",'국가 데이터'!N39)</x:f>
      </x:c>
      <x:c r="G185" s="65" t="str">
        <x:f>IF('국가 데이터'!R39="","",'국가 데이터'!R39)</x:f>
      </x:c>
      <x:c r="H185" s="64" t="str">
        <x:v>국가 데이터 39행</x:v>
      </x:c>
    </x:row>
    <x:row r="186">
      <x:c r="A186" s="64" t="str">
        <x:f>IF('국가 데이터'!M40="","",'국가 데이터'!M40)</x:f>
        <x:v>P2</x:v>
      </x:c>
      <x:c r="B186" s="64" t="str">
        <x:f>IF('국가 데이터'!B40="","",'국가 데이터'!B40)</x:f>
        <x:v>파라과이</x:v>
      </x:c>
      <x:c r="C186" s="64" t="str">
        <x:f>IF('국가 데이터'!F40="","",'국가 데이터'!F40)</x:f>
        <x:v>무사증</x:v>
      </x:c>
      <x:c r="D186" s="64" t="str">
        <x:f>IF('국가 데이터'!G40="","",'국가 데이터'!G40)</x:f>
        <x:v>아니오</x:v>
      </x:c>
      <x:c r="E186" s="64" t="str">
        <x:f>IF('국가 데이터'!K40="","",'국가 데이터'!K40)</x:f>
        <x:v>외교부 기준·갱신 확인 필요</x:v>
      </x:c>
      <x:c r="F186" s="65" t="str">
        <x:f>IF('국가 데이터'!N40="","",'국가 데이터'!N40)</x:f>
      </x:c>
      <x:c r="G186" s="65" t="str">
        <x:f>IF('국가 데이터'!R40="","",'국가 데이터'!R40)</x:f>
      </x:c>
      <x:c r="H186" s="64" t="str">
        <x:v>국가 데이터 40행</x:v>
      </x:c>
    </x:row>
    <x:row r="187">
      <x:c r="A187" s="64" t="str">
        <x:f>IF('국가 데이터'!M83="","",'국가 데이터'!M83)</x:f>
        <x:v>P2</x:v>
      </x:c>
      <x:c r="B187" s="64" t="str">
        <x:f>IF('국가 데이터'!B83="","",'국가 데이터'!B83)</x:f>
        <x:v>팔라우</x:v>
      </x:c>
      <x:c r="C187" s="64" t="str">
        <x:f>IF('국가 데이터'!F83="","",'국가 데이터'!F83)</x:f>
        <x:v>무사증</x:v>
      </x:c>
      <x:c r="D187" s="64" t="str">
        <x:f>IF('국가 데이터'!G83="","",'국가 데이터'!G83)</x:f>
        <x:v>아니오</x:v>
      </x:c>
      <x:c r="E187" s="64" t="str">
        <x:f>IF('국가 데이터'!K83="","",'국가 데이터'!K83)</x:f>
        <x:v>외교부 기준·갱신 확인 필요</x:v>
      </x:c>
      <x:c r="F187" s="65" t="str">
        <x:f>IF('국가 데이터'!N83="","",'국가 데이터'!N83)</x:f>
      </x:c>
      <x:c r="G187" s="65" t="str">
        <x:f>IF('국가 데이터'!R83="","",'국가 데이터'!R83)</x:f>
      </x:c>
      <x:c r="H187" s="64" t="str">
        <x:v>국가 데이터 83행</x:v>
      </x:c>
    </x:row>
    <x:row r="188">
      <x:c r="A188" s="64" t="str">
        <x:f>IF('국가 데이터'!M41="","",'국가 데이터'!M41)</x:f>
        <x:v>P2</x:v>
      </x:c>
      <x:c r="B188" s="64" t="str">
        <x:f>IF('국가 데이터'!B41="","",'국가 데이터'!B41)</x:f>
        <x:v>페루</x:v>
      </x:c>
      <x:c r="C188" s="64" t="str">
        <x:f>IF('국가 데이터'!F41="","",'국가 데이터'!F41)</x:f>
        <x:v>무사증</x:v>
      </x:c>
      <x:c r="D188" s="64" t="str">
        <x:f>IF('국가 데이터'!G41="","",'국가 데이터'!G41)</x:f>
        <x:v>아니오</x:v>
      </x:c>
      <x:c r="E188" s="64" t="str">
        <x:f>IF('국가 데이터'!K41="","",'국가 데이터'!K41)</x:f>
        <x:v>외교부 기준·갱신 확인 필요</x:v>
      </x:c>
      <x:c r="F188" s="65" t="str">
        <x:f>IF('국가 데이터'!N41="","",'국가 데이터'!N41)</x:f>
      </x:c>
      <x:c r="G188" s="65" t="str">
        <x:f>IF('국가 데이터'!R41="","",'국가 데이터'!R41)</x:f>
        <x:v>외교관여권 소지자 : &amp;lt;참고자료&amp;gt; 페루 이민법 규정(Art&amp;iacute;culo 96 Titulo IV Calidad Migratoria - DS 1350) 관용여권 소지자 : &amp;lt;참고자료&amp;gt; 페루 이민법 규정(Art&amp;iacute;culo 96 Titulo IV Calidad Migratoria - DS 1350)</x:v>
      </x:c>
      <x:c r="H188" s="64" t="str">
        <x:v>국가 데이터 41행</x:v>
      </x:c>
    </x:row>
    <x:row r="189">
      <x:c r="A189" s="64" t="str">
        <x:f>IF('국가 데이터'!M199="","",'국가 데이터'!M199)</x:f>
        <x:v>P2</x:v>
      </x:c>
      <x:c r="B189" s="64" t="str">
        <x:f>IF('국가 데이터'!B199="","",'국가 데이터'!B199)</x:f>
        <x:v>포르투갈</x:v>
      </x:c>
      <x:c r="C189" s="64" t="str">
        <x:f>IF('국가 데이터'!F199="","",'국가 데이터'!F199)</x:f>
        <x:v>무사증</x:v>
      </x:c>
      <x:c r="D189" s="64" t="str">
        <x:f>IF('국가 데이터'!G199="","",'국가 데이터'!G199)</x:f>
        <x:v>아니오</x:v>
      </x:c>
      <x:c r="E189" s="64" t="str">
        <x:f>IF('국가 데이터'!K199="","",'국가 데이터'!K199)</x:f>
        <x:v>외교부 기준·갱신 확인 필요</x:v>
      </x:c>
      <x:c r="F189" s="65" t="str">
        <x:f>IF('국가 데이터'!N199="","",'국가 데이터'!N199)</x:f>
      </x:c>
      <x:c r="G189" s="65" t="str">
        <x:f>IF('국가 데이터'!R199="","",'국가 데이터'!R199)</x:f>
      </x:c>
      <x:c r="H189" s="64" t="str">
        <x:v>국가 데이터 199행</x:v>
      </x:c>
    </x:row>
    <x:row r="190">
      <x:c r="A190" s="64" t="str">
        <x:f>IF('국가 데이터'!M200="","",'국가 데이터'!M200)</x:f>
        <x:v>P2</x:v>
      </x:c>
      <x:c r="B190" s="64" t="str">
        <x:f>IF('국가 데이터'!B200="","",'국가 데이터'!B200)</x:f>
        <x:v>폴란드</x:v>
      </x:c>
      <x:c r="C190" s="64" t="str">
        <x:f>IF('국가 데이터'!F200="","",'국가 데이터'!F200)</x:f>
        <x:v>무사증</x:v>
      </x:c>
      <x:c r="D190" s="64" t="str">
        <x:f>IF('국가 데이터'!G200="","",'국가 데이터'!G200)</x:f>
        <x:v>아니오</x:v>
      </x:c>
      <x:c r="E190" s="64" t="str">
        <x:f>IF('국가 데이터'!K200="","",'국가 데이터'!K200)</x:f>
        <x:v>외교부 기준·갱신 확인 필요</x:v>
      </x:c>
      <x:c r="F190" s="65" t="str">
        <x:f>IF('국가 데이터'!N200="","",'국가 데이터'!N200)</x:f>
      </x:c>
      <x:c r="G190" s="65" t="str">
        <x:f>IF('국가 데이터'!R200="","",'국가 데이터'!R200)</x:f>
      </x:c>
      <x:c r="H190" s="64" t="str">
        <x:v>국가 데이터 200행</x:v>
      </x:c>
    </x:row>
    <x:row r="191">
      <x:c r="A191" s="64" t="str">
        <x:f>IF('국가 데이터'!M201="","",'국가 데이터'!M201)</x:f>
        <x:v>P2</x:v>
      </x:c>
      <x:c r="B191" s="64" t="str">
        <x:f>IF('국가 데이터'!B201="","",'국가 데이터'!B201)</x:f>
        <x:v>프랑스</x:v>
      </x:c>
      <x:c r="C191" s="64" t="str">
        <x:f>IF('국가 데이터'!F201="","",'국가 데이터'!F201)</x:f>
        <x:v>무사증</x:v>
      </x:c>
      <x:c r="D191" s="64" t="str">
        <x:f>IF('국가 데이터'!G201="","",'국가 데이터'!G201)</x:f>
        <x:v>아니오</x:v>
      </x:c>
      <x:c r="E191" s="64" t="str">
        <x:f>IF('국가 데이터'!K201="","",'국가 데이터'!K201)</x:f>
        <x:v>외교부 기준·갱신 확인 필요</x:v>
      </x:c>
      <x:c r="F191" s="65" t="str">
        <x:f>IF('국가 데이터'!N201="","",'국가 데이터'!N201)</x:f>
      </x:c>
      <x:c r="G191" s="65" t="str">
        <x:f>IF('국가 데이터'!R201="","",'국가 데이터'!R201)</x:f>
      </x:c>
      <x:c r="H191" s="64" t="str">
        <x:v>국가 데이터 201행</x:v>
      </x:c>
    </x:row>
    <x:row r="192">
      <x:c r="A192" s="64" t="str">
        <x:f>IF('국가 데이터'!M84="","",'국가 데이터'!M84)</x:f>
        <x:v>P2</x:v>
      </x:c>
      <x:c r="B192" s="64" t="str">
        <x:f>IF('국가 데이터'!B84="","",'국가 데이터'!B84)</x:f>
        <x:v>피지</x:v>
      </x:c>
      <x:c r="C192" s="64" t="str">
        <x:f>IF('국가 데이터'!F84="","",'국가 데이터'!F84)</x:f>
        <x:v>무사증</x:v>
      </x:c>
      <x:c r="D192" s="64" t="str">
        <x:f>IF('국가 데이터'!G84="","",'국가 데이터'!G84)</x:f>
        <x:v>아니오</x:v>
      </x:c>
      <x:c r="E192" s="64" t="str">
        <x:f>IF('국가 데이터'!K84="","",'국가 데이터'!K84)</x:f>
        <x:v>외교부 기준·갱신 확인 필요</x:v>
      </x:c>
      <x:c r="F192" s="65" t="str">
        <x:f>IF('국가 데이터'!N84="","",'국가 데이터'!N84)</x:f>
      </x:c>
      <x:c r="G192" s="65" t="str">
        <x:f>IF('국가 데이터'!R84="","",'국가 데이터'!R84)</x:f>
      </x:c>
      <x:c r="H192" s="64" t="str">
        <x:v>국가 데이터 84행</x:v>
      </x:c>
    </x:row>
    <x:row r="193">
      <x:c r="A193" s="64" t="str">
        <x:f>IF('국가 데이터'!M202="","",'국가 데이터'!M202)</x:f>
        <x:v>P2</x:v>
      </x:c>
      <x:c r="B193" s="64" t="str">
        <x:f>IF('국가 데이터'!B202="","",'국가 데이터'!B202)</x:f>
        <x:v>핀란드</x:v>
      </x:c>
      <x:c r="C193" s="64" t="str">
        <x:f>IF('국가 데이터'!F202="","",'국가 데이터'!F202)</x:f>
        <x:v>무사증</x:v>
      </x:c>
      <x:c r="D193" s="64" t="str">
        <x:f>IF('국가 데이터'!G202="","",'국가 데이터'!G202)</x:f>
        <x:v>아니오</x:v>
      </x:c>
      <x:c r="E193" s="64" t="str">
        <x:f>IF('국가 데이터'!K202="","",'국가 데이터'!K202)</x:f>
        <x:v>외교부 기준·갱신 확인 필요</x:v>
      </x:c>
      <x:c r="F193" s="65" t="str">
        <x:f>IF('국가 데이터'!N202="","",'국가 데이터'!N202)</x:f>
      </x:c>
      <x:c r="G193" s="65" t="str">
        <x:f>IF('국가 데이터'!R202="","",'국가 데이터'!R202)</x:f>
      </x:c>
      <x:c r="H193" s="64" t="str">
        <x:v>국가 데이터 202행</x:v>
      </x:c>
    </x:row>
    <x:row r="194">
      <x:c r="A194" s="64" t="str">
        <x:f>IF('국가 데이터'!M85="","",'국가 데이터'!M85)</x:f>
        <x:v>P2</x:v>
      </x:c>
      <x:c r="B194" s="64" t="str">
        <x:f>IF('국가 데이터'!B85="","",'국가 데이터'!B85)</x:f>
        <x:v>필리핀</x:v>
      </x:c>
      <x:c r="C194" s="64" t="str">
        <x:f>IF('국가 데이터'!F85="","",'국가 데이터'!F85)</x:f>
        <x:v>무사증</x:v>
      </x:c>
      <x:c r="D194" s="64" t="str">
        <x:f>IF('국가 데이터'!G85="","",'국가 데이터'!G85)</x:f>
        <x:v>아니오</x:v>
      </x:c>
      <x:c r="E194" s="64" t="str">
        <x:f>IF('국가 데이터'!K85="","",'국가 데이터'!K85)</x:f>
        <x:v>외교부 기준·갱신 확인 필요</x:v>
      </x:c>
      <x:c r="F194" s="65" t="str">
        <x:f>IF('국가 데이터'!N85="","",'국가 데이터'!N85)</x:f>
      </x:c>
      <x:c r="G194" s="65" t="str">
        <x:f>IF('국가 데이터'!R85="","",'국가 데이터'!R85)</x:f>
      </x:c>
      <x:c r="H194" s="64" t="str">
        <x:v>국가 데이터 85행</x:v>
      </x:c>
    </x:row>
    <x:row r="195">
      <x:c r="A195" s="64" t="str">
        <x:f>IF('국가 데이터'!M203="","",'국가 데이터'!M203)</x:f>
        <x:v>P2</x:v>
      </x:c>
      <x:c r="B195" s="64" t="str">
        <x:f>IF('국가 데이터'!B203="","",'국가 데이터'!B203)</x:f>
        <x:v>헝가리</x:v>
      </x:c>
      <x:c r="C195" s="64" t="str">
        <x:f>IF('국가 데이터'!F203="","",'국가 데이터'!F203)</x:f>
        <x:v>무사증</x:v>
      </x:c>
      <x:c r="D195" s="64" t="str">
        <x:f>IF('국가 데이터'!G203="","",'국가 데이터'!G203)</x:f>
        <x:v>아니오</x:v>
      </x:c>
      <x:c r="E195" s="64" t="str">
        <x:f>IF('국가 데이터'!K203="","",'국가 데이터'!K203)</x:f>
        <x:v>외교부 기준·갱신 확인 필요</x:v>
      </x:c>
      <x:c r="F195" s="65" t="str">
        <x:f>IF('국가 데이터'!N203="","",'국가 데이터'!N203)</x:f>
      </x:c>
      <x:c r="G195" s="65" t="str">
        <x:f>IF('국가 데이터'!R203="","",'국가 데이터'!R203)</x:f>
        <x:v>외교관여권 소지자 : * 솅겐협약(90일) 이후 양자사증면제협정(90일) 적용받아, 최대 180일 무비자 체류가능 - 헝가리 입국시 솅겐협약 우선 적용 관용여권 소지자 : * 솅겐협약(90일) 이후 양자사증면제협정(90일) 적용받아, 최대 180일 무비자 체류가능 - 헝가리 입국시 솅겐협약 우선 적용 일반여권 소지자 : * 솅겐협약(90일) 이후 양자사증면제협정(90일) 적용받아, 최대 180일 무비자 체류가능 - 헝가리 입국시 솅겐협약 우선 적용</x:v>
      </x:c>
      <x:c r="H195" s="64" t="str">
        <x:v>국가 데이터 203행</x:v>
      </x:c>
    </x:row>
    <x:row r="196">
      <x:c r="A196" s="64" t="str">
        <x:f>IF('국가 데이터'!M87="","",'국가 데이터'!M87)</x:f>
        <x:v>P2</x:v>
      </x:c>
      <x:c r="B196" s="64" t="str">
        <x:f>IF('국가 데이터'!B87="","",'국가 데이터'!B87)</x:f>
        <x:v>홍콩</x:v>
      </x:c>
      <x:c r="C196" s="64" t="str">
        <x:f>IF('국가 데이터'!F87="","",'국가 데이터'!F87)</x:f>
        <x:v>무사증</x:v>
      </x:c>
      <x:c r="D196" s="64" t="str">
        <x:f>IF('국가 데이터'!G87="","",'국가 데이터'!G87)</x:f>
        <x:v>아니오</x:v>
      </x:c>
      <x:c r="E196" s="64" t="str">
        <x:f>IF('국가 데이터'!K87="","",'국가 데이터'!K87)</x:f>
        <x:v>외교부 기준·갱신 확인 필요</x:v>
      </x:c>
      <x:c r="F196" s="65" t="str">
        <x:f>IF('국가 데이터'!N87="","",'국가 데이터'!N87)</x:f>
      </x:c>
      <x:c r="G196" s="65" t="str">
        <x:f>IF('국가 데이터'!R87="","",'국가 데이터'!R87)</x:f>
      </x:c>
      <x:c r="H196" s="64" t="str">
        <x:v>국가 데이터 87행</x:v>
      </x:c>
    </x:row>
  </x:sheetData>
  <x:mergeCells>
    <x:mergeCell ref="A1:H2"/>
    <x:mergeCell ref="A3:H3"/>
  </x:mergeCells>
  <x:conditionalFormatting sqref="A5:A196">
    <x:cfRule type="containsText" dxfId="4" priority="1" operator="containsText" text="P0"/>
    <x:cfRule type="containsText" dxfId="5" priority="2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4738d1368bac4e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24" hidden="0" customWidth="1"/>
    <x:col min="5" max="5" width="32" hidden="0" customWidth="1"/>
    <x:col min="6" max="6" width="32" hidden="0" customWidth="1"/>
  </x:cols>
  <x:sheetData>
    <x:row r="1" ht="30" customHeight="1">
      <x:c r="A1" s="4" t="str">
        <x:v>입국 규정 분류 기준</x:v>
      </x:c>
      <x:c r="B1" s="4" t="str">
        <x:v>입국 규정 분류 기준</x:v>
      </x:c>
      <x:c r="C1" s="4" t="str">
        <x:v>입국 규정 분류 기준</x:v>
      </x:c>
      <x:c r="D1" s="4" t="str">
        <x:v>입국 규정 분류 기준</x:v>
      </x:c>
      <x:c r="E1" s="4" t="str">
        <x:v>입국 규정 분류 기준</x:v>
      </x:c>
      <x:c r="F1" s="4" t="str">
        <x:v>입국 규정 분류 기준</x:v>
      </x:c>
    </x:row>
    <x:row r="2" ht="30" customHeight="1">
      <x:c r="A2" s="4" t="str">
        <x:v>입국 규정 분류 기준</x:v>
      </x:c>
      <x:c r="B2" s="4" t="str">
        <x:v>입국 규정 분류 기준</x:v>
      </x:c>
      <x:c r="C2" s="4" t="str">
        <x:v>입국 규정 분류 기준</x:v>
      </x:c>
      <x:c r="D2" s="4" t="str">
        <x:v>입국 규정 분류 기준</x:v>
      </x:c>
      <x:c r="E2" s="4" t="str">
        <x:v>입국 규정 분류 기준</x:v>
      </x:c>
      <x:c r="F2" s="4" t="str">
        <x:v>입국 규정 분류 기준</x:v>
      </x:c>
    </x:row>
    <x:row r="3" ht="32" customHeight="1">
      <x:c r="A3" s="8" t="str">
        <x:v>서비스 화면은 '비자 필요/불필요' 두 가지로 단순화하지 않고 실제 행동이 다른 경로를 구분합니다.</x:v>
      </x:c>
      <x:c r="B3" s="8" t="str">
        <x:v>서비스 화면은 '비자 필요/불필요' 두 가지로 단순화하지 않고 실제 행동이 다른 경로를 구분합니다.</x:v>
      </x:c>
      <x:c r="C3" s="8" t="str">
        <x:v>서비스 화면은 '비자 필요/불필요' 두 가지로 단순화하지 않고 실제 행동이 다른 경로를 구분합니다.</x:v>
      </x:c>
      <x:c r="D3" s="8" t="str">
        <x:v>서비스 화면은 '비자 필요/불필요' 두 가지로 단순화하지 않고 실제 행동이 다른 경로를 구분합니다.</x:v>
      </x:c>
      <x:c r="E3" s="8" t="str">
        <x:v>서비스 화면은 '비자 필요/불필요' 두 가지로 단순화하지 않고 실제 행동이 다른 경로를 구분합니다.</x:v>
      </x:c>
      <x:c r="F3" s="8" t="str">
        <x:v>서비스 화면은 '비자 필요/불필요' 두 가지로 단순화하지 않고 실제 행동이 다른 경로를 구분합니다.</x:v>
      </x:c>
    </x:row>
    <x:row r="5">
      <x:c r="A5" s="51" t="str">
        <x:v>신청 경로</x:v>
      </x:c>
      <x:c r="B5" s="51" t="str">
        <x:v>비자 여부</x:v>
      </x:c>
      <x:c r="C5" s="51" t="str">
        <x:v>출발 전 행동</x:v>
      </x:c>
      <x:c r="D5" s="51" t="str">
        <x:v>서비스가 제공할 것</x:v>
      </x:c>
      <x:c r="E5" s="51" t="str">
        <x:v>사용자에게 보여줄 핵심 문구</x:v>
      </x:c>
      <x:c r="F5" s="51" t="str">
        <x:v>출시 조건</x:v>
      </x:c>
    </x:row>
    <x:row r="6">
      <x:c r="A6" s="78" t="str">
        <x:v>무사증</x:v>
      </x:c>
      <x:c r="B6" s="79" t="str">
        <x:v>비자 불필요</x:v>
      </x:c>
      <x:c r="C6" s="79" t="str">
        <x:v>별도 허가 없음</x:v>
      </x:c>
      <x:c r="D6" s="79" t="str">
        <x:v>여권·체류·귀국편 조건</x:v>
      </x:c>
      <x:c r="E6" s="79" t="str">
        <x:v>비자는 필요 없지만 입국 조건을 확인하세요.</x:v>
      </x:c>
      <x:c r="F6" s="80" t="str">
        <x:v>목적지 정부 공식 출처 확인</x:v>
      </x:c>
    </x:row>
    <x:row r="7">
      <x:c r="A7" s="81" t="str">
        <x:v>무사증+입국등록</x:v>
      </x:c>
      <x:c r="B7" s="82" t="str">
        <x:v>비자 불필요</x:v>
      </x:c>
      <x:c r="C7" s="82" t="str">
        <x:v>입국카드·등록</x:v>
      </x:c>
      <x:c r="D7" s="82" t="str">
        <x:v>등록 폼 작성 보조</x:v>
      </x:c>
      <x:c r="E7" s="82" t="str">
        <x:v>비자는 없지만 출발 전 등록이 필요합니다.</x:v>
      </x:c>
      <x:c r="F7" s="83" t="str">
        <x:v>공식 등록 사이트와 기한 확인</x:v>
      </x:c>
    </x:row>
    <x:row r="8">
      <x:c r="A8" s="81" t="str">
        <x:v>전자여행허가(ETA)</x:v>
      </x:c>
      <x:c r="B8" s="82" t="str">
        <x:v>비자가 아님</x:v>
      </x:c>
      <x:c r="C8" s="82" t="str">
        <x:v>온라인 사전허가</x:v>
      </x:c>
      <x:c r="D8" s="82" t="str">
        <x:v>자격 확인·작성·복사</x:v>
      </x:c>
      <x:c r="E8" s="82" t="str">
        <x:v>비자 대신 전자여행허가가 필요합니다.</x:v>
      </x:c>
      <x:c r="F8" s="83" t="str">
        <x:v>국적·목적·체류기간 공식 확인</x:v>
      </x:c>
    </x:row>
    <x:row r="9">
      <x:c r="A9" s="81" t="str">
        <x:v>전자비자(eVisa)</x:v>
      </x:c>
      <x:c r="B9" s="82" t="str">
        <x:v>비자 필요</x:v>
      </x:c>
      <x:c r="C9" s="82" t="str">
        <x:v>온라인 사전신청</x:v>
      </x:c>
      <x:c r="D9" s="82" t="str">
        <x:v>신청서·서류·결제 안내</x:v>
      </x:c>
      <x:c r="E9" s="82" t="str">
        <x:v>출발 전에 전자비자를 받아야 합니다.</x:v>
      </x:c>
      <x:c r="F9" s="83" t="str">
        <x:v>공식 eVisa 도메인 확인</x:v>
      </x:c>
    </x:row>
    <x:row r="10">
      <x:c r="A10" s="81" t="str">
        <x:v>도착비자</x:v>
      </x:c>
      <x:c r="B10" s="82" t="str">
        <x:v>비자 필요</x:v>
      </x:c>
      <x:c r="C10" s="82" t="str">
        <x:v>도착 후 발급</x:v>
      </x:c>
      <x:c r="D10" s="82" t="str">
        <x:v>준비물·수수료·공항 조건</x:v>
      </x:c>
      <x:c r="E10" s="82" t="str">
        <x:v>도착 후 비자를 받지만 출발 전 준비가 필요합니다.</x:v>
      </x:c>
      <x:c r="F10" s="83" t="str">
        <x:v>국적·입국항·결제수단 확인</x:v>
      </x:c>
    </x:row>
    <x:row r="11">
      <x:c r="A11" s="81" t="str">
        <x:v>전자비자/도착비자</x:v>
      </x:c>
      <x:c r="B11" s="82" t="str">
        <x:v>비자 필요</x:v>
      </x:c>
      <x:c r="C11" s="82" t="str">
        <x:v>둘 중 선택</x:v>
      </x:c>
      <x:c r="D11" s="82" t="str">
        <x:v>경로 비교와 추천 기준</x:v>
      </x:c>
      <x:c r="E11" s="82" t="str">
        <x:v>전자 신청 또는 도착 발급 중 선택할 수 있습니다.</x:v>
      </x:c>
      <x:c r="F11" s="83" t="str">
        <x:v>양 경로의 자격과 비용 확인</x:v>
      </x:c>
    </x:row>
    <x:row r="12">
      <x:c r="A12" s="81" t="str">
        <x:v>대사관·영사관 사전비자</x:v>
      </x:c>
      <x:c r="B12" s="82" t="str">
        <x:v>비자 필요</x:v>
      </x:c>
      <x:c r="C12" s="82" t="str">
        <x:v>공관 신청</x:v>
      </x:c>
      <x:c r="D12" s="82" t="str">
        <x:v>서류 체크리스트·예약 안내</x:v>
      </x:c>
      <x:c r="E12" s="82" t="str">
        <x:v>출발 전에 공관 비자를 받아야 합니다.</x:v>
      </x:c>
      <x:c r="F12" s="83" t="str">
        <x:v>관할 공관과 처리기간 확인</x:v>
      </x:c>
    </x:row>
    <x:row r="13">
      <x:c r="A13" s="81" t="str">
        <x:v>특별허가/여행제한</x:v>
      </x:c>
      <x:c r="B13" s="82" t="str">
        <x:v>일반 비자와 다름</x:v>
      </x:c>
      <x:c r="C13" s="82" t="str">
        <x:v>공식 허가 우선</x:v>
      </x:c>
      <x:c r="D13" s="82" t="str">
        <x:v>서비스 중단·공식 안내</x:v>
      </x:c>
      <x:c r="E13" s="82" t="str">
        <x:v>일반 신청보다 여행 제한 확인이 우선입니다.</x:v>
      </x:c>
      <x:c r="F13" s="83" t="str">
        <x:v>외교부 여권 사용 제한 확인</x:v>
      </x:c>
    </x:row>
    <x:row r="14">
      <x:c r="A14" s="84" t="str">
        <x:v>공식 재확인 필요</x:v>
      </x:c>
      <x:c r="B14" s="85" t="str">
        <x:v>판단 보류</x:v>
      </x:c>
      <x:c r="C14" s="85" t="str">
        <x:v>안내 금지</x:v>
      </x:c>
      <x:c r="D14" s="85" t="str">
        <x:v>조사 큐 등록</x:v>
      </x:c>
      <x:c r="E14" s="85" t="str">
        <x:v>현재 정보만으로 안내할 수 없습니다.</x:v>
      </x:c>
      <x:c r="F14" s="86" t="str">
        <x:v>목적지 정부 공식 확인 완료</x:v>
      </x:c>
    </x:row>
    <x:row r="17">
      <x:c r="A17" s="88" t="str">
        <x:v>국가 한 곳의 필수 정보 묶음</x:v>
      </x:c>
      <x:c r="B17" s="88" t="str">
        <x:v>국가 한 곳의 필수 정보 묶음</x:v>
      </x:c>
      <x:c r="C17" s="88" t="str">
        <x:v>국가 한 곳의 필수 정보 묶음</x:v>
      </x:c>
      <x:c r="D17" s="88" t="str">
        <x:v>국가 한 곳의 필수 정보 묶음</x:v>
      </x:c>
      <x:c r="E17" s="88" t="str">
        <x:v>국가 한 곳의 필수 정보 묶음</x:v>
      </x:c>
      <x:c r="F17" s="88" t="str">
        <x:v>국가 한 곳의 필수 정보 묶음</x:v>
      </x:c>
    </x:row>
    <x:row r="18">
      <x:c r="A18" s="69" t="str">
        <x:v>1</x:v>
      </x:c>
      <x:c r="B18" s="70" t="str">
        <x:v>대상 국적·여권</x:v>
      </x:c>
      <x:c r="C18" s="70" t="str">
        <x:v>대한민국 일반 전자여권</x:v>
      </x:c>
      <x:c r="D18" s="70" t="str"/>
      <x:c r="E18" s="70" t="str"/>
      <x:c r="F18" s="71" t="str"/>
    </x:row>
    <x:row r="19">
      <x:c r="A19" s="72" t="str">
        <x:v>2</x:v>
      </x:c>
      <x:c r="B19" s="73" t="str">
        <x:v>방문 목적</x:v>
      </x:c>
      <x:c r="C19" s="73" t="str">
        <x:v>관광·단기 방문</x:v>
      </x:c>
      <x:c r="D19" s="73" t="str"/>
      <x:c r="E19" s="73" t="str"/>
      <x:c r="F19" s="74" t="str"/>
    </x:row>
    <x:row r="20">
      <x:c r="A20" s="72" t="str">
        <x:v>3</x:v>
      </x:c>
      <x:c r="B20" s="73" t="str">
        <x:v>신청 경로</x:v>
      </x:c>
      <x:c r="C20" s="73" t="str">
        <x:v>무사증/ETA/eVisa/도착비자/사전비자</x:v>
      </x:c>
      <x:c r="D20" s="73" t="str"/>
      <x:c r="E20" s="73" t="str"/>
      <x:c r="F20" s="74" t="str"/>
    </x:row>
    <x:row r="21">
      <x:c r="A21" s="72" t="str">
        <x:v>4</x:v>
      </x:c>
      <x:c r="B21" s="73" t="str">
        <x:v>체류 조건</x:v>
      </x:c>
      <x:c r="C21" s="73" t="str">
        <x:v>최대 체류일·누적 계산·입국 횟수</x:v>
      </x:c>
      <x:c r="D21" s="73" t="str"/>
      <x:c r="E21" s="73" t="str"/>
      <x:c r="F21" s="74" t="str"/>
    </x:row>
    <x:row r="22">
      <x:c r="A22" s="72" t="str">
        <x:v>5</x:v>
      </x:c>
      <x:c r="B22" s="73" t="str">
        <x:v>여권 조건</x:v>
      </x:c>
      <x:c r="C22" s="73" t="str">
        <x:v>잔여 유효기간·빈 페이지·전자여권</x:v>
      </x:c>
      <x:c r="D22" s="73" t="str"/>
      <x:c r="E22" s="73" t="str"/>
      <x:c r="F22" s="74" t="str"/>
    </x:row>
    <x:row r="23">
      <x:c r="A23" s="72" t="str">
        <x:v>6</x:v>
      </x:c>
      <x:c r="B23" s="73" t="str">
        <x:v>신청 정보</x:v>
      </x:c>
      <x:c r="C23" s="73" t="str">
        <x:v>공식 URL·수수료·처리기간·필요 서류</x:v>
      </x:c>
      <x:c r="D23" s="73" t="str"/>
      <x:c r="E23" s="73" t="str"/>
      <x:c r="F23" s="74" t="str"/>
    </x:row>
    <x:row r="24">
      <x:c r="A24" s="72" t="str">
        <x:v>7</x:v>
      </x:c>
      <x:c r="B24" s="73" t="str">
        <x:v>입국 조건</x:v>
      </x:c>
      <x:c r="C24" s="73" t="str">
        <x:v>귀국편·숙소·재정·보험·예방접종</x:v>
      </x:c>
      <x:c r="D24" s="73" t="str"/>
      <x:c r="E24" s="73" t="str"/>
      <x:c r="F24" s="74" t="str"/>
    </x:row>
    <x:row r="25">
      <x:c r="A25" s="72" t="str">
        <x:v>8</x:v>
      </x:c>
      <x:c r="B25" s="73" t="str">
        <x:v>예외</x:v>
      </x:c>
      <x:c r="C25" s="73" t="str">
        <x:v>경유·미성년자·이중국적·과거 거절</x:v>
      </x:c>
      <x:c r="D25" s="73" t="str"/>
      <x:c r="E25" s="73" t="str"/>
      <x:c r="F25" s="74" t="str"/>
    </x:row>
    <x:row r="26">
      <x:c r="A26" s="75" t="str">
        <x:v>9</x:v>
      </x:c>
      <x:c r="B26" s="76" t="str">
        <x:v>신뢰 정보</x:v>
      </x:c>
      <x:c r="C26" s="76" t="str">
        <x:v>공식 출처·검증일·다음 확인일</x:v>
      </x:c>
      <x:c r="D26" s="76" t="str"/>
      <x:c r="E26" s="76" t="str"/>
      <x:c r="F26" s="77" t="str"/>
    </x:row>
  </x:sheetData>
  <x:mergeCells>
    <x:mergeCell ref="A1:F2"/>
    <x:mergeCell ref="A3:F3"/>
    <x:mergeCell ref="A17:F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28" hidden="0" customWidth="1"/>
    <x:col min="4" max="4" width="58" hidden="0" customWidth="1"/>
    <x:col min="5" max="5" width="20" hidden="0" customWidth="1"/>
    <x:col min="6" max="6" width="14" hidden="0" customWidth="1"/>
    <x:col min="7" max="7" width="38" hidden="0" customWidth="1"/>
  </x:cols>
  <x:sheetData>
    <x:row r="1" ht="30" customHeight="1">
      <x:c r="A1" s="4" t="str">
        <x:v>출처 및 검증 로그</x:v>
      </x:c>
      <x:c r="B1" s="4" t="str">
        <x:v>출처 및 검증 로그</x:v>
      </x:c>
      <x:c r="C1" s="4" t="str">
        <x:v>출처 및 검증 로그</x:v>
      </x:c>
      <x:c r="D1" s="4" t="str">
        <x:v>출처 및 검증 로그</x:v>
      </x:c>
      <x:c r="E1" s="4" t="str">
        <x:v>출처 및 검증 로그</x:v>
      </x:c>
      <x:c r="F1" s="4" t="str">
        <x:v>출처 및 검증 로그</x:v>
      </x:c>
      <x:c r="G1" s="4" t="str">
        <x:v>출처 및 검증 로그</x:v>
      </x:c>
    </x:row>
    <x:row r="2" ht="30" customHeight="1">
      <x:c r="A2" s="4" t="str">
        <x:v>출처 및 검증 로그</x:v>
      </x:c>
      <x:c r="B2" s="4" t="str">
        <x:v>출처 및 검증 로그</x:v>
      </x:c>
      <x:c r="C2" s="4" t="str">
        <x:v>출처 및 검증 로그</x:v>
      </x:c>
      <x:c r="D2" s="4" t="str">
        <x:v>출처 및 검증 로그</x:v>
      </x:c>
      <x:c r="E2" s="4" t="str">
        <x:v>출처 및 검증 로그</x:v>
      </x:c>
      <x:c r="F2" s="4" t="str">
        <x:v>출처 및 검증 로그</x:v>
      </x:c>
      <x:c r="G2" s="4" t="str">
        <x:v>출처 및 검증 로그</x:v>
      </x:c>
    </x:row>
    <x:row r="3" ht="32" customHeight="1">
      <x:c r="A3" s="8" t="str">
        <x:v>1차 출처는 한국 외교부와 목적지 정부입니다. Passport Index는 누락 탐색용 보조자료이며 최종 게시 근거로 사용할 수 없습니다.</x:v>
      </x:c>
      <x:c r="B3" s="8" t="str">
        <x:v>1차 출처는 한국 외교부와 목적지 정부입니다. Passport Index는 누락 탐색용 보조자료이며 최종 게시 근거로 사용할 수 없습니다.</x:v>
      </x:c>
      <x:c r="C3" s="8" t="str">
        <x:v>1차 출처는 한국 외교부와 목적지 정부입니다. Passport Index는 누락 탐색용 보조자료이며 최종 게시 근거로 사용할 수 없습니다.</x:v>
      </x:c>
      <x:c r="D3" s="8" t="str">
        <x:v>1차 출처는 한국 외교부와 목적지 정부입니다. Passport Index는 누락 탐색용 보조자료이며 최종 게시 근거로 사용할 수 없습니다.</x:v>
      </x:c>
      <x:c r="E3" s="8" t="str">
        <x:v>1차 출처는 한국 외교부와 목적지 정부입니다. Passport Index는 누락 탐색용 보조자료이며 최종 게시 근거로 사용할 수 없습니다.</x:v>
      </x:c>
      <x:c r="F3" s="8" t="str">
        <x:v>1차 출처는 한국 외교부와 목적지 정부입니다. Passport Index는 누락 탐색용 보조자료이며 최종 게시 근거로 사용할 수 없습니다.</x:v>
      </x:c>
      <x:c r="G3" s="8" t="str">
        <x:v>1차 출처는 한국 외교부와 목적지 정부입니다. Passport Index는 누락 탐색용 보조자료이며 최종 게시 근거로 사용할 수 없습니다.</x:v>
      </x:c>
    </x:row>
    <x:row r="5">
      <x:c r="A5" s="51" t="str">
        <x:v>출처</x:v>
      </x:c>
      <x:c r="B5" s="51" t="str">
        <x:v>등급</x:v>
      </x:c>
      <x:c r="C5" s="51" t="str">
        <x:v>적용 범위</x:v>
      </x:c>
      <x:c r="D5" s="51" t="str">
        <x:v>URL</x:v>
      </x:c>
      <x:c r="E5" s="51" t="str">
        <x:v>기준·게시일</x:v>
      </x:c>
      <x:c r="F5" s="51" t="str">
        <x:v>확인일</x:v>
      </x:c>
      <x:c r="G5" s="51" t="str">
        <x:v>사용 규칙</x:v>
      </x:c>
    </x:row>
    <x:row r="6">
      <x:c r="A6" s="78" t="str">
        <x:v>외교부 해외안전여행 무사증 표</x:v>
      </x:c>
      <x:c r="B6" s="79" t="str">
        <x:v>1차·공식</x:v>
      </x:c>
      <x:c r="C6" s="79" t="str">
        <x:v>전체 국가 기준 목록</x:v>
      </x:c>
      <x:c r="D6" s="79" t="str">
        <x:v>https://www.0404.go.kr/bbs/contsPst/MST0000000000113/13/detail</x:v>
      </x:c>
      <x:c r="E6" s="79" t="str">
        <x:v>페이지 표기 2025-03</x:v>
      </x:c>
      <x:c r="F6" s="95" t="n">
        <x:v>46258</x:v>
      </x:c>
      <x:c r="G6" s="80" t="str">
        <x:v>발견용 기준. 목적지 공식 자료와 재검증</x:v>
      </x:c>
    </x:row>
    <x:row r="7">
      <x:c r="A7" s="81" t="str">
        <x:v>Passport Index South Korea 2026</x:v>
      </x:c>
      <x:c r="B7" s="82" t="str">
        <x:v>2차·보조</x:v>
      </x:c>
      <x:c r="C7" s="82" t="str">
        <x:v>현재 신청 경로 탐색</x:v>
      </x:c>
      <x:c r="D7" s="82" t="str">
        <x:v>https://www.passportindex.org/passport/south-korea/</x:v>
      </x:c>
      <x:c r="E7" s="82" t="str">
        <x:v>2026</x:v>
      </x:c>
      <x:c r="F7" s="96" t="n">
        <x:v>46258</x:v>
      </x:c>
      <x:c r="G7" s="83" t="str">
        <x:v>분류 후보 생성만 허용. 단독 게시 금지</x:v>
      </x:c>
    </x:row>
    <x:row r="8">
      <x:c r="A8" s="81" t="str">
        <x:v>미국 국무부 VWP</x:v>
      </x:c>
      <x:c r="B8" s="82" t="str">
        <x:v>1차·공식</x:v>
      </x:c>
      <x:c r="C8" s="82" t="str">
        <x:v>미국 ESTA</x:v>
      </x:c>
      <x:c r="D8" s="82" t="str">
        <x:v>https://travel.state.gov/content/travel/en/us-visas/tourism-visit/visa-waiver-program.html</x:v>
      </x:c>
      <x:c r="E8" s="82" t="str">
        <x:v>현재</x:v>
      </x:c>
      <x:c r="F8" s="96" t="n">
        <x:v>46258</x:v>
      </x:c>
      <x:c r="G8" s="83" t="str">
        <x:v>게시 가능</x:v>
      </x:c>
    </x:row>
    <x:row r="9">
      <x:c r="A9" s="81" t="str">
        <x:v>영국 ETA 국적 목록</x:v>
      </x:c>
      <x:c r="B9" s="82" t="str">
        <x:v>1차·공식</x:v>
      </x:c>
      <x:c r="C9" s="82" t="str">
        <x:v>영국 ETA</x:v>
      </x:c>
      <x:c r="D9" s="82" t="str">
        <x:v>https://www.gov.uk/guidance/immigration-rules/immigration-rules-appendix-eta-national-list</x:v>
      </x:c>
      <x:c r="E9" s="82" t="str">
        <x:v>현재</x:v>
      </x:c>
      <x:c r="F9" s="96" t="n">
        <x:v>46258</x:v>
      </x:c>
      <x:c r="G9" s="83" t="str">
        <x:v>게시 가능</x:v>
      </x:c>
    </x:row>
    <x:row r="10">
      <x:c r="A10" s="81" t="str">
        <x:v>뉴질랜드 이민청 NZeTA</x:v>
      </x:c>
      <x:c r="B10" s="82" t="str">
        <x:v>1차·공식</x:v>
      </x:c>
      <x:c r="C10" s="82" t="str">
        <x:v>뉴질랜드 NZeTA</x:v>
      </x:c>
      <x:c r="D10" s="82" t="str">
        <x:v>https://www.immigration.govt.nz/visas/new-zealand-electronic-travel-authority-nzeta/</x:v>
      </x:c>
      <x:c r="E10" s="82" t="str">
        <x:v>현재</x:v>
      </x:c>
      <x:c r="F10" s="96" t="n">
        <x:v>46258</x:v>
      </x:c>
      <x:c r="G10" s="83" t="str">
        <x:v>게시 가능</x:v>
      </x:c>
    </x:row>
    <x:row r="11">
      <x:c r="A11" s="81" t="str">
        <x:v>주한 이스라엘대사관 ETA-IL</x:v>
      </x:c>
      <x:c r="B11" s="82" t="str">
        <x:v>1차·공식</x:v>
      </x:c>
      <x:c r="C11" s="82" t="str">
        <x:v>이스라엘 ETA-IL</x:v>
      </x:c>
      <x:c r="D11" s="82" t="str">
        <x:v>https://embassies.gov.il/seoul/en/services/foreign-citizens/application-eta-il-approval</x:v>
      </x:c>
      <x:c r="E11" s="82" t="str">
        <x:v>현재</x:v>
      </x:c>
      <x:c r="F11" s="96" t="n">
        <x:v>46258</x:v>
      </x:c>
      <x:c r="G11" s="83" t="str">
        <x:v>게시 가능</x:v>
      </x:c>
    </x:row>
    <x:row r="12">
      <x:c r="A12" s="81" t="str">
        <x:v>주중 대한민국대사관 중국 무사증</x:v>
      </x:c>
      <x:c r="B12" s="82" t="str">
        <x:v>1차·공식</x:v>
      </x:c>
      <x:c r="C12" s="82" t="str">
        <x:v>중국 한시 무사증</x:v>
      </x:c>
      <x:c r="D12" s="82" t="str">
        <x:v>https://www.mofa.go.kr/cn-ko/brd/m_1237/view.do?seq=1348046</x:v>
      </x:c>
      <x:c r="E12" s="82" t="str">
        <x:v>2026-12-31까지</x:v>
      </x:c>
      <x:c r="F12" s="96" t="n">
        <x:v>46258</x:v>
      </x:c>
      <x:c r="G12" s="83" t="str">
        <x:v>만료 전 재확인</x:v>
      </x:c>
    </x:row>
    <x:row r="13">
      <x:c r="A13" s="81" t="str">
        <x:v>외교부 볼리비아 무사증 보도자료</x:v>
      </x:c>
      <x:c r="B13" s="82" t="str">
        <x:v>1차·공식</x:v>
      </x:c>
      <x:c r="C13" s="82" t="str">
        <x:v>볼리비아 무사증</x:v>
      </x:c>
      <x:c r="D13" s="82" t="str">
        <x:v>https://www.mofa.go.kr/www/brd/m_4080/view.do?page=1&amp;pitem=102026&amp;seq=376720</x:v>
      </x:c>
      <x:c r="E13" s="82" t="str">
        <x:v>2025-12-03 시행</x:v>
      </x:c>
      <x:c r="F13" s="96" t="n">
        <x:v>46258</x:v>
      </x:c>
      <x:c r="G13" s="83" t="str">
        <x:v>체류기간 목적지 공식 재확인</x:v>
      </x:c>
    </x:row>
    <x:row r="14">
      <x:c r="A14" s="81" t="str">
        <x:v>외교부 몽골 입국 정보</x:v>
      </x:c>
      <x:c r="B14" s="82" t="str">
        <x:v>1차·공식</x:v>
      </x:c>
      <x:c r="C14" s="82" t="str">
        <x:v>몽골 한시 무사증</x:v>
      </x:c>
      <x:c r="D14" s="82" t="str">
        <x:v>https://0404.go.kr/ntnSafetyInfo/68/detail</x:v>
      </x:c>
      <x:c r="E14" s="82" t="str">
        <x:v>2026-12-31까지</x:v>
      </x:c>
      <x:c r="F14" s="96" t="n">
        <x:v>46258</x:v>
      </x:c>
      <x:c r="G14" s="83" t="str">
        <x:v>만료 전 재확인</x:v>
      </x:c>
    </x:row>
    <x:row r="15">
      <x:c r="A15" s="84" t="str">
        <x:v>외교부 여권 사용 제한 고시</x:v>
      </x:c>
      <x:c r="B15" s="85" t="str">
        <x:v>1차·공식</x:v>
      </x:c>
      <x:c r="C15" s="85" t="str">
        <x:v>여행금지·일부 제한</x:v>
      </x:c>
      <x:c r="D15" s="85" t="str">
        <x:v>https://0404.go.kr/files/download/FILE_000000000100940/1</x:v>
      </x:c>
      <x:c r="E15" s="85" t="str">
        <x:v>외교부고시 2026-6호</x:v>
      </x:c>
      <x:c r="F15" s="97" t="n">
        <x:v>46258</x:v>
      </x:c>
      <x:c r="G15" s="86" t="str">
        <x:v>비자 안내보다 먼저 노출</x:v>
      </x:c>
    </x:row>
  </x:sheetData>
  <x:mergeCells>
    <x:mergeCell ref="A1:G2"/>
    <x:mergeCell ref="A3:G3"/>
  </x:mergeCells>
  <x:conditionalFormatting sqref="B6:B15">
    <x:cfRule type="containsText" dxfId="6" priority="1" operator="containsText" text="1차"/>
    <x:cfRule type="containsText" dxfId="7" priority="2" operator="containsText" text="2차"/>
  </x:conditionalFormatting>
  <x:pageMargins left="0.7" right="0.7" top="0.75" bottom="0.75" header="0.3" footer="0.3"/>
</x:worksheet>
</file>